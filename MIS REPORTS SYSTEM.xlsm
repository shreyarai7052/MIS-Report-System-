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283d25f2965de1/Desktop/EXCEL Revision/"/>
    </mc:Choice>
  </mc:AlternateContent>
  <xr:revisionPtr revIDLastSave="2" documentId="13_ncr:1_{C1962D7B-F9D2-410B-9D9A-D72B884420F2}" xr6:coauthVersionLast="47" xr6:coauthVersionMax="47" xr10:uidLastSave="{0F629C4D-84EA-4DB5-ABD2-A46B1261DEC4}"/>
  <bookViews>
    <workbookView xWindow="-108" yWindow="-108" windowWidth="23256" windowHeight="12456" activeTab="4" xr2:uid="{00000000-000D-0000-FFFF-FFFF00000000}"/>
  </bookViews>
  <sheets>
    <sheet name="Break" sheetId="1" r:id="rId1"/>
    <sheet name="Efficiency" sheetId="2" r:id="rId2"/>
    <sheet name="over all performance" sheetId="3" r:id="rId3"/>
    <sheet name="Summary" sheetId="5" r:id="rId4"/>
    <sheet name="Dashboard" sheetId="6" r:id="rId5"/>
  </sheets>
  <definedNames>
    <definedName name="BData">Break!$A:$I</definedName>
    <definedName name="EData">Efficiency!$A:$Q</definedName>
    <definedName name="PData">'over 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C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2" i="5"/>
</calcChain>
</file>

<file path=xl/sharedStrings.xml><?xml version="1.0" encoding="utf-8"?>
<sst xmlns="http://schemas.openxmlformats.org/spreadsheetml/2006/main" count="2446" uniqueCount="1015">
  <si>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</si>
  <si>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</si>
  <si>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</si>
  <si>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</si>
  <si>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</si>
  <si>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</si>
  <si>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</si>
  <si>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</si>
  <si>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</si>
  <si>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</si>
  <si>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</si>
  <si>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</si>
  <si>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</si>
  <si>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</si>
  <si>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</si>
  <si>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</si>
  <si>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</si>
  <si>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</si>
  <si>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</si>
  <si>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</si>
  <si>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</si>
  <si>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</si>
  <si>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</si>
  <si>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</si>
  <si>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</si>
  <si>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</si>
  <si>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</si>
  <si>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</si>
  <si>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</si>
  <si>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</si>
  <si>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</si>
  <si>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</si>
  <si>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</si>
  <si>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</si>
  <si>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</si>
  <si>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</si>
  <si>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</si>
  <si>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</si>
  <si>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</si>
  <si>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</si>
  <si>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</si>
  <si>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</si>
  <si>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</si>
  <si>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</si>
  <si>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</si>
  <si>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</si>
  <si>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</si>
  <si>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</si>
  <si>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</si>
  <si>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</si>
  <si>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</si>
  <si>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</si>
  <si>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</si>
  <si>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</si>
  <si>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</si>
  <si>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</si>
  <si>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</si>
  <si>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</si>
  <si>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</si>
  <si>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</si>
  <si>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</si>
  <si>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</si>
  <si>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</si>
  <si>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</si>
  <si>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</si>
  <si>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</si>
  <si>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</si>
  <si>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</si>
  <si>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</si>
  <si>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</si>
  <si>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</si>
  <si>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</si>
  <si>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</si>
  <si>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</si>
  <si>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</si>
  <si>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</si>
  <si>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</si>
  <si>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</si>
  <si>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</si>
  <si>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</si>
  <si>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</si>
  <si>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</si>
  <si>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</si>
  <si>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</si>
  <si>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</si>
  <si>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</si>
  <si>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</si>
  <si>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</si>
  <si>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</si>
  <si>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</si>
  <si>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</si>
  <si>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</si>
  <si>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</si>
  <si>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</si>
  <si>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</si>
  <si>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</si>
  <si>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</si>
  <si>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</si>
  <si>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</si>
  <si>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</si>
  <si>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</si>
  <si>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</si>
  <si>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</si>
  <si>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</si>
  <si>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</si>
  <si>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</si>
  <si>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</si>
  <si>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</si>
  <si>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</si>
  <si>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</si>
  <si>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</si>
  <si>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</si>
  <si>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</si>
  <si>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</si>
  <si>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</si>
  <si>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</si>
  <si>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</si>
  <si>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</si>
  <si>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</si>
  <si>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</si>
  <si>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</si>
  <si>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</si>
  <si>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</si>
  <si>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</si>
  <si>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</si>
  <si>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</si>
  <si>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</si>
  <si>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</si>
  <si>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</si>
  <si>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</si>
  <si>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</si>
  <si>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</si>
  <si>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</si>
  <si>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</si>
  <si>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</si>
  <si>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</si>
  <si>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</si>
  <si>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</si>
  <si>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</si>
  <si>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</si>
  <si>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</si>
  <si>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</si>
  <si>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</si>
  <si>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</si>
  <si>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</si>
  <si>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</si>
  <si>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</si>
  <si>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</si>
  <si>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</si>
  <si>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</si>
  <si>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</si>
  <si>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</si>
  <si>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</si>
  <si>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</si>
  <si>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</si>
  <si>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</si>
  <si>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</si>
  <si>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</si>
  <si>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</si>
  <si>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</si>
  <si>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</si>
  <si>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</si>
  <si>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</si>
  <si>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</si>
  <si>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</si>
  <si>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</si>
  <si>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</si>
  <si>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</si>
  <si>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</si>
  <si>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</si>
  <si>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</si>
  <si>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</si>
  <si>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</si>
  <si>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</si>
  <si>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</si>
  <si>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</si>
  <si>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</si>
  <si>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</si>
  <si>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</si>
  <si>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</si>
  <si>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</si>
  <si>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</si>
  <si>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</si>
  <si>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</si>
  <si>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</si>
  <si>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</si>
  <si>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</si>
  <si>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</si>
  <si>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</si>
  <si>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</si>
  <si>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</si>
  <si>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</si>
  <si>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</si>
  <si>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</si>
  <si>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</si>
  <si>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</si>
  <si>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</si>
  <si>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</si>
  <si>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</si>
  <si>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</si>
  <si>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</si>
  <si>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</si>
  <si>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</si>
  <si>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</si>
  <si>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</si>
  <si>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</si>
  <si>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</si>
  <si>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</si>
  <si>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</si>
  <si>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</si>
  <si>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</si>
  <si>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</si>
  <si>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</si>
  <si>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</si>
  <si>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</si>
  <si>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</si>
  <si>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</si>
  <si>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</si>
  <si>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</si>
  <si>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</si>
  <si>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</si>
  <si>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</si>
  <si>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</si>
  <si>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</si>
  <si>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</si>
  <si>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</si>
  <si>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</si>
  <si>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</si>
  <si>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</si>
  <si>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</si>
  <si>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</si>
  <si>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</si>
  <si>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</si>
  <si>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</si>
  <si>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</si>
  <si>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</si>
  <si>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</si>
  <si>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</si>
  <si>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</si>
  <si>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</si>
  <si>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</si>
  <si>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</si>
  <si>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</si>
  <si>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</si>
  <si>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</si>
  <si>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</si>
  <si>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</si>
  <si>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</si>
  <si>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</si>
  <si>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</si>
  <si>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</si>
  <si>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</si>
  <si>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</si>
  <si>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</si>
  <si>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</si>
  <si>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</si>
  <si>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</si>
  <si>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</si>
  <si>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</si>
  <si>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</si>
  <si>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</si>
  <si>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</si>
  <si>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</si>
  <si>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</si>
  <si>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</si>
  <si>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</si>
  <si>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</si>
  <si>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</si>
  <si>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</si>
  <si>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</si>
  <si>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</si>
  <si>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</si>
  <si>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</si>
  <si>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</si>
  <si>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</si>
  <si>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</si>
  <si>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</si>
  <si>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</si>
  <si>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</si>
  <si>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</si>
  <si>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</si>
  <si>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</si>
  <si>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</si>
  <si>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</si>
  <si>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</si>
  <si>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</si>
  <si>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</si>
  <si>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</si>
  <si>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</si>
  <si>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</si>
  <si>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</si>
  <si>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</si>
  <si>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</si>
  <si>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</si>
  <si>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</si>
  <si>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</si>
  <si>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</si>
  <si>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</si>
  <si>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</si>
  <si>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</si>
  <si>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</si>
  <si>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</si>
  <si>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</si>
  <si>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</si>
  <si>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</si>
  <si>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</si>
  <si>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</si>
  <si>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</si>
  <si>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</si>
  <si>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</si>
  <si>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</si>
  <si>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</si>
  <si>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</si>
  <si>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</si>
  <si>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</si>
  <si>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</si>
  <si>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</si>
  <si>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</si>
  <si>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</si>
  <si>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</si>
  <si>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</si>
  <si>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</si>
  <si>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</si>
  <si>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</si>
  <si>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</si>
  <si>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</si>
  <si>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</si>
  <si>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</si>
  <si>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</si>
  <si>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</si>
  <si>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</si>
  <si>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</si>
  <si>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</si>
  <si>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</si>
  <si>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</si>
  <si>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</si>
  <si>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</si>
  <si>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</si>
  <si>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</si>
  <si>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</si>
  <si>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</si>
  <si>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</si>
  <si>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</si>
  <si>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</si>
  <si>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</si>
  <si>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</si>
  <si>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</si>
  <si>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</si>
  <si>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</si>
  <si>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</si>
  <si>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</si>
  <si>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</si>
  <si>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</si>
  <si>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</si>
  <si>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</si>
  <si>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</si>
  <si>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</si>
  <si>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</si>
  <si>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</si>
  <si>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</si>
  <si>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</si>
  <si>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</si>
  <si>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</si>
  <si>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</si>
  <si>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</si>
  <si>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</si>
  <si>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</si>
  <si>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</si>
  <si>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</si>
  <si>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</si>
  <si>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</si>
  <si>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</si>
  <si>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</si>
  <si>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</si>
  <si>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</si>
  <si>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</si>
  <si>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</si>
  <si>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</si>
  <si>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</si>
  <si>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</si>
  <si>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</si>
  <si>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</si>
  <si>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</si>
  <si>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</si>
  <si>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</si>
  <si>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</si>
  <si>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</si>
  <si>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</si>
  <si>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</si>
  <si>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</si>
  <si>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</si>
  <si>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</si>
  <si>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</si>
  <si>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</si>
  <si>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</si>
  <si>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</si>
  <si>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</si>
  <si>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</si>
  <si>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</si>
  <si>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</si>
  <si>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</si>
  <si>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</si>
  <si>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</si>
  <si>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</si>
  <si>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</si>
  <si>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</si>
  <si>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</si>
  <si>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</si>
  <si>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</si>
  <si>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</si>
  <si>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</si>
  <si>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</si>
  <si>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</si>
  <si>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</si>
  <si>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</si>
  <si>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</si>
  <si>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</si>
  <si>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</si>
  <si>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</si>
  <si>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</si>
  <si>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</si>
  <si>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</si>
  <si>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</si>
  <si>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</si>
  <si>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</si>
  <si>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</si>
  <si>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</si>
  <si>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</si>
  <si>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</si>
  <si>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</si>
  <si>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</si>
  <si>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</si>
  <si>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</si>
  <si>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</si>
  <si>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</si>
  <si>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</si>
  <si>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</si>
  <si>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</si>
  <si>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</si>
  <si>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</si>
  <si>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</si>
  <si>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</si>
  <si>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</si>
  <si>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</si>
  <si>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</si>
  <si>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</si>
  <si>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</si>
  <si>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</si>
  <si>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</si>
  <si>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</si>
  <si>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</si>
  <si>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</si>
  <si>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</si>
  <si>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</si>
  <si>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</si>
  <si>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</si>
  <si>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</si>
  <si>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</si>
  <si>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</si>
  <si>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</si>
  <si>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</si>
  <si>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</si>
  <si>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</si>
  <si>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</si>
  <si>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</si>
  <si>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</si>
  <si>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</si>
  <si>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</si>
  <si>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</si>
  <si>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</si>
  <si>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</si>
  <si>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</si>
  <si>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</si>
  <si>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</si>
  <si>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</si>
  <si>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</si>
  <si>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</si>
  <si>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</si>
  <si>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</si>
  <si>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</si>
  <si>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</si>
  <si>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</si>
  <si>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</si>
  <si>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</si>
  <si>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</si>
  <si>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</si>
  <si>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</si>
  <si>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</si>
  <si>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</si>
  <si>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</si>
  <si>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</si>
  <si>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</si>
  <si>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</si>
  <si>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</si>
  <si>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</si>
  <si>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</si>
  <si>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</si>
  <si>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</si>
  <si>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</si>
  <si>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</si>
  <si>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</si>
  <si>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</si>
  <si>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</si>
  <si>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</si>
  <si>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</si>
  <si>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</si>
  <si>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</si>
  <si>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</si>
  <si>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</si>
  <si>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</si>
  <si>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</si>
  <si>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</si>
  <si>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</si>
  <si>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</si>
  <si>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</si>
  <si>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</si>
  <si>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</si>
  <si>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</si>
  <si>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</si>
  <si>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</si>
  <si>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</si>
  <si>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</si>
  <si>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</si>
  <si>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</si>
  <si>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</si>
  <si>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</si>
  <si>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</si>
  <si>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</si>
  <si>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</si>
  <si>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</si>
  <si>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</si>
  <si>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</si>
  <si>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</si>
  <si>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</si>
  <si>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</si>
  <si>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</si>
  <si>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</si>
  <si>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</si>
  <si>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</si>
  <si>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</si>
  <si>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</si>
  <si>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</si>
  <si>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</si>
  <si>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</si>
  <si>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</si>
  <si>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</si>
  <si>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</si>
  <si>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</si>
  <si>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</si>
  <si>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</si>
  <si>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</si>
  <si>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</si>
  <si>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</si>
  <si>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</si>
  <si>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</si>
  <si>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</si>
  <si>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</si>
  <si>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</si>
  <si>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</si>
  <si>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</si>
  <si>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</si>
  <si>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</si>
  <si>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</si>
  <si>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</si>
  <si>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</si>
  <si>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</si>
  <si>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</si>
  <si>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</si>
  <si>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</si>
  <si>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</si>
  <si>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</si>
  <si>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</si>
  <si>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</si>
  <si>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</si>
  <si>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</si>
  <si>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</si>
  <si>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</si>
  <si>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</si>
  <si>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</si>
  <si>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</si>
  <si>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</si>
  <si>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</si>
  <si>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</si>
  <si>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</si>
  <si>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</si>
  <si>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</si>
  <si>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</si>
  <si>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</si>
  <si>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</si>
  <si>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</si>
  <si>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</si>
  <si>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</si>
  <si>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</si>
  <si>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</si>
  <si>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</si>
  <si>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</si>
  <si>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</si>
  <si>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</si>
  <si>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</si>
  <si>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</si>
  <si>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</si>
  <si>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</si>
  <si>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</si>
  <si>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</si>
  <si>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</si>
  <si>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</si>
  <si>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</si>
  <si>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</si>
  <si>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</si>
  <si>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</si>
  <si>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</si>
  <si>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</si>
  <si>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</si>
  <si>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</si>
  <si>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</si>
  <si>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</si>
  <si>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</si>
  <si>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</si>
  <si>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</si>
  <si>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</si>
  <si>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</si>
  <si>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</si>
  <si>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</si>
  <si>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</si>
  <si>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</si>
  <si>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</si>
  <si>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</si>
  <si>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</si>
  <si>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</si>
  <si>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</si>
  <si>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</si>
  <si>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</si>
  <si>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</si>
  <si>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</si>
  <si>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</si>
  <si>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</si>
  <si>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</si>
  <si>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</si>
  <si>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</si>
  <si>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</si>
  <si>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</si>
  <si>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</si>
  <si>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</si>
  <si>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</si>
  <si>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</si>
  <si>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</si>
  <si>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</si>
  <si>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</si>
  <si>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</si>
  <si>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</si>
  <si>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</si>
  <si>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</si>
  <si>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</si>
  <si>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</si>
  <si>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</si>
  <si>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</si>
  <si>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</si>
  <si>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</si>
  <si>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</si>
  <si>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</si>
  <si>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</si>
  <si>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</si>
  <si>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</si>
  <si>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</si>
  <si>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</si>
  <si>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</si>
  <si>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</si>
  <si>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</si>
  <si>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</si>
  <si>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</si>
  <si>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</si>
  <si>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</si>
  <si>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</si>
  <si>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</si>
  <si>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</si>
  <si>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</si>
  <si>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</si>
  <si>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</si>
  <si>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</si>
  <si>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</si>
  <si>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</si>
  <si>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</si>
  <si>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</si>
  <si>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</si>
  <si>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</si>
  <si>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</si>
  <si>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</si>
  <si>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</si>
  <si>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</si>
  <si>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</si>
  <si>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</si>
  <si>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</si>
  <si>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</si>
  <si>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</si>
  <si>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</si>
  <si>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</si>
  <si>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</si>
  <si>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</si>
  <si>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</si>
  <si>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</si>
  <si>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</si>
  <si>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</si>
  <si>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</si>
  <si>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</si>
  <si>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</si>
  <si>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</si>
  <si>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</si>
  <si>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</si>
  <si>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</si>
  <si>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</si>
  <si>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</si>
  <si>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</si>
  <si>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</si>
  <si>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</si>
  <si>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</si>
  <si>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</si>
  <si>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</si>
  <si>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</si>
  <si>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</si>
  <si>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</si>
  <si>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</si>
  <si>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</si>
  <si>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</si>
  <si>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</si>
  <si>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</si>
  <si>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</si>
  <si>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</si>
  <si>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</si>
  <si>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</si>
  <si>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</si>
  <si>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</si>
  <si>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</si>
  <si>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</si>
  <si>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</si>
  <si>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</si>
  <si>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</si>
  <si>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</si>
  <si>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</si>
  <si>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</si>
  <si>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</si>
  <si>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</si>
  <si>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</si>
  <si>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</si>
  <si>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</si>
  <si>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</si>
  <si>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</si>
  <si>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</si>
  <si>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</si>
  <si>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</si>
  <si>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</si>
  <si>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</si>
  <si>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</si>
  <si>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</si>
  <si>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</si>
  <si>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</si>
  <si>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</si>
  <si>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</si>
  <si>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</si>
  <si>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</si>
  <si>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</si>
  <si>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</si>
  <si>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</si>
  <si>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</si>
  <si>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</si>
  <si>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</si>
  <si>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</si>
  <si>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</si>
  <si>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</si>
  <si>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</si>
  <si>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</si>
  <si>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</si>
  <si>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</si>
  <si>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</si>
  <si>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</si>
  <si>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</si>
  <si>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</si>
  <si>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</si>
  <si>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</si>
  <si>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</si>
  <si>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</si>
  <si>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</si>
  <si>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</si>
  <si>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</si>
  <si>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</si>
  <si>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</si>
  <si>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</si>
  <si>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</si>
  <si>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</si>
  <si>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</si>
  <si>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</si>
  <si>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</si>
  <si>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</si>
  <si>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</si>
  <si>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</si>
  <si>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</si>
  <si>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</si>
  <si>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</si>
  <si>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</si>
  <si>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</si>
  <si>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</si>
  <si>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</si>
  <si>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</si>
  <si>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</si>
  <si>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</si>
  <si>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</si>
  <si>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</si>
  <si>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</si>
  <si>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</si>
  <si>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</si>
  <si>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</si>
  <si>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</si>
  <si>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</si>
  <si>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</si>
  <si>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</si>
  <si>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</si>
  <si>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</si>
  <si>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</si>
  <si>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</si>
  <si>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</si>
  <si>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</si>
  <si>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</si>
  <si>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</si>
  <si>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</si>
  <si>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</si>
  <si>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</si>
  <si>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</si>
  <si>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</si>
  <si>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</si>
  <si>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</si>
  <si>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</si>
  <si>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</si>
  <si>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</si>
  <si>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</si>
  <si>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</si>
  <si>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</si>
  <si>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</si>
  <si>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</si>
  <si>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</si>
  <si>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</si>
  <si>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</si>
  <si>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</si>
  <si>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</si>
  <si>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</si>
  <si>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</si>
  <si>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</si>
  <si>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</si>
  <si>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</si>
  <si>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</si>
  <si>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</si>
  <si>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</si>
  <si>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</si>
  <si>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</si>
  <si>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</si>
  <si>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</si>
  <si>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</si>
  <si>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</si>
  <si>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</si>
  <si>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</si>
  <si>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</si>
  <si>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</si>
  <si>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</si>
  <si>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</si>
  <si>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</si>
  <si>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</si>
  <si>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</si>
  <si>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</si>
  <si>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</si>
  <si>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</si>
  <si>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</si>
  <si>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</si>
  <si>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</si>
  <si>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</si>
  <si>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</si>
  <si>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</si>
  <si>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</si>
  <si>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</si>
  <si>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</si>
  <si>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</si>
  <si>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</si>
  <si>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</si>
  <si>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</si>
  <si>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</si>
  <si>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</si>
  <si>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</si>
  <si>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</si>
  <si>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</si>
  <si>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</si>
  <si>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</si>
  <si>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</si>
  <si>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</si>
  <si>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</si>
  <si>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</si>
  <si>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</si>
  <si>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</si>
  <si>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</si>
  <si>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</si>
  <si>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</si>
  <si>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</si>
  <si>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</si>
  <si>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</si>
  <si>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</si>
  <si>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</si>
  <si>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</si>
  <si>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</si>
  <si>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</si>
  <si>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</si>
  <si>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</si>
  <si>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</si>
  <si>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</si>
  <si>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</si>
  <si>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</si>
  <si>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</si>
  <si>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</si>
  <si>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</si>
  <si>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</si>
  <si>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</si>
  <si>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</si>
  <si>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</si>
  <si>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</si>
  <si>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</si>
  <si>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</si>
  <si>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</si>
  <si>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</si>
  <si>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</si>
  <si>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</si>
  <si>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</si>
  <si>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</si>
  <si>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</si>
  <si>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</si>
  <si>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</si>
  <si>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</si>
  <si>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</si>
  <si>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</si>
  <si>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</si>
  <si>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</si>
  <si>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</si>
  <si>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</si>
  <si>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</si>
  <si>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</si>
  <si>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</si>
  <si>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</si>
  <si>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</si>
  <si>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</si>
  <si>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</si>
  <si>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</si>
  <si>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</si>
  <si>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</si>
  <si>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</si>
  <si>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</si>
  <si>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</si>
  <si>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</si>
  <si>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</si>
  <si>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</si>
  <si>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</si>
  <si>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</si>
  <si>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</si>
  <si>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</si>
  <si>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</si>
  <si>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</si>
  <si>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</si>
  <si>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</si>
  <si>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</si>
  <si>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</si>
  <si>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</si>
  <si>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</si>
  <si>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</si>
  <si>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</si>
  <si>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</si>
  <si>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</si>
  <si>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</si>
  <si>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</si>
  <si>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</si>
  <si>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</si>
  <si>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</si>
  <si>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</si>
  <si>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</si>
  <si>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</si>
  <si>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</si>
  <si>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</si>
  <si>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</si>
  <si>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</si>
  <si>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</si>
  <si>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</si>
  <si>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</si>
  <si>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</si>
  <si>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</si>
  <si>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</si>
  <si>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</si>
  <si>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</si>
  <si>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</si>
  <si>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</si>
  <si>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</si>
  <si>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</si>
  <si>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</si>
  <si>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</si>
  <si>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</si>
  <si>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</si>
  <si>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</si>
  <si>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</si>
  <si>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</si>
  <si>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</si>
  <si>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</si>
  <si>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Working Hours</t>
  </si>
  <si>
    <t>Work Efficiency</t>
  </si>
  <si>
    <t>Active With Customer</t>
  </si>
  <si>
    <t>Row Labels</t>
  </si>
  <si>
    <t>Ashok Kumar</t>
  </si>
  <si>
    <t>Total Number Of Working Hours of Emp</t>
  </si>
  <si>
    <t>Report 1: Working Hours</t>
  </si>
  <si>
    <t>Manoj Kumar</t>
  </si>
  <si>
    <t>Rajesh Kumar</t>
  </si>
  <si>
    <t>Santosh Kumar</t>
  </si>
  <si>
    <t>Sunil Kumar</t>
  </si>
  <si>
    <t>Sum of Active With Customer</t>
  </si>
  <si>
    <t>Report 2: Active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</si>
</sst>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theme="0"/>
      <name val="Berlin Sans FB Dem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3399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/>
    <xf numFmtId="49" fontId="4" fillId="0" borderId="2" xfId="0" applyNumberFormat="1" applyFont="1" applyBorder="1" applyAlignment="1">
      <alignment horizontal="right" vertical="top" wrapText="1"/>
    </xf>
    <xf numFmtId="49" fontId="2" fillId="2" borderId="1" xfId="0" applyNumberFormat="1" applyFont="1" applyFill="1" applyBorder="1" applyAlignment="1">
      <alignment horizontal="center" vertical="top"/>
    </xf>
    <xf numFmtId="49" fontId="2" fillId="2" borderId="1" xfId="0" applyNumberFormat="1" applyFont="1" applyFill="1" applyBorder="1" applyAlignment="1">
      <alignment horizontal="center" vertical="top" wrapText="1"/>
    </xf>
    <xf numFmtId="3" fontId="4" fillId="0" borderId="2" xfId="0" applyNumberFormat="1" applyFont="1" applyBorder="1" applyAlignment="1">
      <alignment horizontal="right" vertical="top" wrapText="1"/>
    </xf>
    <xf numFmtId="164" fontId="4" fillId="0" borderId="2" xfId="0" applyNumberFormat="1" applyFont="1" applyBorder="1" applyAlignment="1">
      <alignment horizontal="right" vertical="top" wrapText="1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/>
    <xf numFmtId="165" fontId="0" fillId="0" borderId="0" xfId="0" applyNumberFormat="1"/>
    <xf numFmtId="1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5" fillId="0" borderId="0" xfId="0" applyFont="1"/>
    <xf numFmtId="0" fontId="6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99"/>
      <color rgb="FFCCFF99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REPORTS SYSTEM PR1(AutoRecovered).xlsm]Dashboard!PivotTable2</c:name>
    <c:fmtId val="0"/>
  </c:pivotSource>
  <c:chart>
    <c:autoTitleDeleted val="1"/>
    <c:pivotFmts>
      <c:pivotFmt>
        <c:idx val="0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61060880048232E-2"/>
          <c:y val="0.20311567362490904"/>
          <c:w val="0.93888888888888888"/>
          <c:h val="0.640012394284047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FE-4980-BB67-E19130D9F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4937792"/>
        <c:axId val="2034938272"/>
      </c:barChart>
      <c:catAx>
        <c:axId val="203493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938272"/>
        <c:crosses val="autoZero"/>
        <c:auto val="1"/>
        <c:lblAlgn val="ctr"/>
        <c:lblOffset val="100"/>
        <c:noMultiLvlLbl val="0"/>
      </c:catAx>
      <c:valAx>
        <c:axId val="203493827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20349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REPORTS SYSTEM PR1(AutoRecovered).xlsm]Dashboard!PivotTable3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E83-4FF2-B58A-C5F63B94075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E83-4FF2-B58A-C5F63B94075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E83-4FF2-B58A-C5F63B94075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E83-4FF2-B58A-C5F63B94075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E83-4FF2-B58A-C5F63B94075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6EC-40BC-9E8C-32DCC59E58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B-4562-951A-B13D7512A0C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150" min="1" page="10" val="5"/>
</file>

<file path=xl/ctrlProps/ctrlProp2.xml><?xml version="1.0" encoding="utf-8"?>
<formControlPr xmlns="http://schemas.microsoft.com/office/spreadsheetml/2009/9/main" objectType="Spin" dx="26" fmlaLink="$C$2" max="15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160020</xdr:rowOff>
    </xdr:from>
    <xdr:to>
      <xdr:col>1</xdr:col>
      <xdr:colOff>3238500</xdr:colOff>
      <xdr:row>26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493007-ACB7-A31B-FF4F-CE493F75E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30480</xdr:rowOff>
    </xdr:from>
    <xdr:to>
      <xdr:col>1</xdr:col>
      <xdr:colOff>182880</xdr:colOff>
      <xdr:row>1</xdr:row>
      <xdr:rowOff>144780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D9F6137C-D44F-DD78-A3B0-98E59988D13B}"/>
            </a:ext>
          </a:extLst>
        </xdr:cNvPr>
        <xdr:cNvSpPr/>
      </xdr:nvSpPr>
      <xdr:spPr>
        <a:xfrm>
          <a:off x="0" y="30480"/>
          <a:ext cx="1089660" cy="29718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IN" sz="1100"/>
            <a:t>          </a:t>
          </a:r>
          <a:r>
            <a:rPr lang="en-IN" sz="1100" b="1"/>
            <a:t>CHART</a:t>
          </a:r>
        </a:p>
        <a:p>
          <a:pPr algn="l"/>
          <a:endParaRPr lang="en-IN" sz="1100"/>
        </a:p>
      </xdr:txBody>
    </xdr:sp>
    <xdr:clientData/>
  </xdr:twoCellAnchor>
  <xdr:twoCellAnchor editAs="oneCell">
    <xdr:from>
      <xdr:col>1</xdr:col>
      <xdr:colOff>297180</xdr:colOff>
      <xdr:row>0</xdr:row>
      <xdr:rowOff>25400</xdr:rowOff>
    </xdr:from>
    <xdr:to>
      <xdr:col>1</xdr:col>
      <xdr:colOff>670560</xdr:colOff>
      <xdr:row>1</xdr:row>
      <xdr:rowOff>153670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889D7792-8910-1873-4F47-5C119AF24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960" y="25400"/>
          <a:ext cx="373380" cy="311150"/>
        </a:xfrm>
        <a:prstGeom prst="rect">
          <a:avLst/>
        </a:prstGeom>
        <a:solidFill>
          <a:schemeClr val="bg1"/>
        </a:solidFill>
        <a:ln w="12700">
          <a:solidFill>
            <a:schemeClr val="dk1">
              <a:shade val="15000"/>
            </a:schemeClr>
          </a:solidFill>
        </a:ln>
      </xdr:spPr>
    </xdr:pic>
    <xdr:clientData/>
  </xdr:twoCellAnchor>
  <xdr:twoCellAnchor editAs="oneCell">
    <xdr:from>
      <xdr:col>1</xdr:col>
      <xdr:colOff>289560</xdr:colOff>
      <xdr:row>0</xdr:row>
      <xdr:rowOff>25400</xdr:rowOff>
    </xdr:from>
    <xdr:to>
      <xdr:col>1</xdr:col>
      <xdr:colOff>670560</xdr:colOff>
      <xdr:row>1</xdr:row>
      <xdr:rowOff>160020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A98489D3-D534-A689-E12D-6C00E946C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040" y="25400"/>
          <a:ext cx="381000" cy="317500"/>
        </a:xfrm>
        <a:prstGeom prst="rect">
          <a:avLst/>
        </a:prstGeom>
        <a:solidFill>
          <a:schemeClr val="bg1"/>
        </a:solidFill>
        <a:ln w="12700"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1</xdr:col>
      <xdr:colOff>937260</xdr:colOff>
      <xdr:row>0</xdr:row>
      <xdr:rowOff>22860</xdr:rowOff>
    </xdr:from>
    <xdr:to>
      <xdr:col>1</xdr:col>
      <xdr:colOff>1478280</xdr:colOff>
      <xdr:row>1</xdr:row>
      <xdr:rowOff>160020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E845A319-CACB-9EF7-737D-328B14C4E507}"/>
            </a:ext>
          </a:extLst>
        </xdr:cNvPr>
        <xdr:cNvSpPr/>
      </xdr:nvSpPr>
      <xdr:spPr>
        <a:xfrm>
          <a:off x="1844040" y="22860"/>
          <a:ext cx="541020" cy="320040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D8E3BF75-DF3A-4412-A873-3E9A97A87D33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960120</xdr:colOff>
          <xdr:row>0</xdr:row>
          <xdr:rowOff>45720</xdr:rowOff>
        </xdr:from>
        <xdr:to>
          <xdr:col>1</xdr:col>
          <xdr:colOff>1181100</xdr:colOff>
          <xdr:row>1</xdr:row>
          <xdr:rowOff>137160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1744980</xdr:colOff>
      <xdr:row>0</xdr:row>
      <xdr:rowOff>30480</xdr:rowOff>
    </xdr:from>
    <xdr:to>
      <xdr:col>1</xdr:col>
      <xdr:colOff>3223260</xdr:colOff>
      <xdr:row>1</xdr:row>
      <xdr:rowOff>152400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DB2E0FD-6502-3577-50C9-7E881E1BC455}"/>
            </a:ext>
          </a:extLst>
        </xdr:cNvPr>
        <xdr:cNvSpPr/>
      </xdr:nvSpPr>
      <xdr:spPr>
        <a:xfrm flipH="1">
          <a:off x="2918460" y="30480"/>
          <a:ext cx="1478280" cy="3048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/>
            <a:t>RECORDS</a:t>
          </a:r>
        </a:p>
        <a:p>
          <a:pPr algn="ctr"/>
          <a:endParaRPr lang="en-IN" sz="1200" b="1"/>
        </a:p>
      </xdr:txBody>
    </xdr:sp>
    <xdr:clientData/>
  </xdr:twoCellAnchor>
  <xdr:twoCellAnchor>
    <xdr:from>
      <xdr:col>3</xdr:col>
      <xdr:colOff>0</xdr:colOff>
      <xdr:row>0</xdr:row>
      <xdr:rowOff>30480</xdr:rowOff>
    </xdr:from>
    <xdr:to>
      <xdr:col>4</xdr:col>
      <xdr:colOff>182880</xdr:colOff>
      <xdr:row>1</xdr:row>
      <xdr:rowOff>144780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DEB656D9-2A93-486B-AB9A-6FAC537CC77F}"/>
            </a:ext>
          </a:extLst>
        </xdr:cNvPr>
        <xdr:cNvSpPr/>
      </xdr:nvSpPr>
      <xdr:spPr>
        <a:xfrm>
          <a:off x="0" y="30480"/>
          <a:ext cx="1356360" cy="29718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IN" sz="1100"/>
            <a:t>          </a:t>
          </a:r>
          <a:r>
            <a:rPr lang="en-IN" sz="1100" b="1"/>
            <a:t>CHART</a:t>
          </a:r>
        </a:p>
        <a:p>
          <a:pPr algn="l"/>
          <a:endParaRPr lang="en-IN" sz="1100"/>
        </a:p>
      </xdr:txBody>
    </xdr:sp>
    <xdr:clientData/>
  </xdr:twoCellAnchor>
  <xdr:oneCellAnchor>
    <xdr:from>
      <xdr:col>4</xdr:col>
      <xdr:colOff>297180</xdr:colOff>
      <xdr:row>0</xdr:row>
      <xdr:rowOff>25400</xdr:rowOff>
    </xdr:from>
    <xdr:ext cx="373380" cy="311150"/>
    <xdr:pic macro="[0]!Hide_chart21">
      <xdr:nvPicPr>
        <xdr:cNvPr id="16" name="Picture 15">
          <a:extLst>
            <a:ext uri="{FF2B5EF4-FFF2-40B4-BE49-F238E27FC236}">
              <a16:creationId xmlns:a16="http://schemas.microsoft.com/office/drawing/2014/main" id="{41DA770D-00FF-4D71-8EE8-F2EAA4861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660" y="25400"/>
          <a:ext cx="373380" cy="311150"/>
        </a:xfrm>
        <a:prstGeom prst="rect">
          <a:avLst/>
        </a:prstGeom>
        <a:solidFill>
          <a:schemeClr val="bg1"/>
        </a:solidFill>
        <a:ln w="12700">
          <a:solidFill>
            <a:schemeClr val="dk1">
              <a:shade val="15000"/>
            </a:schemeClr>
          </a:solidFill>
        </a:ln>
      </xdr:spPr>
    </xdr:pic>
    <xdr:clientData/>
  </xdr:oneCellAnchor>
  <xdr:twoCellAnchor>
    <xdr:from>
      <xdr:col>4</xdr:col>
      <xdr:colOff>937260</xdr:colOff>
      <xdr:row>0</xdr:row>
      <xdr:rowOff>22860</xdr:rowOff>
    </xdr:from>
    <xdr:to>
      <xdr:col>4</xdr:col>
      <xdr:colOff>1478280</xdr:colOff>
      <xdr:row>1</xdr:row>
      <xdr:rowOff>160020</xdr:rowOff>
    </xdr:to>
    <xdr:sp macro="" textlink="$C$2">
      <xdr:nvSpPr>
        <xdr:cNvPr id="18" name="Rectangle 17">
          <a:extLst>
            <a:ext uri="{FF2B5EF4-FFF2-40B4-BE49-F238E27FC236}">
              <a16:creationId xmlns:a16="http://schemas.microsoft.com/office/drawing/2014/main" id="{B954ECC5-0CFB-4F6F-AFDA-493F1A71EF24}"/>
            </a:ext>
          </a:extLst>
        </xdr:cNvPr>
        <xdr:cNvSpPr/>
      </xdr:nvSpPr>
      <xdr:spPr>
        <a:xfrm>
          <a:off x="2110740" y="22860"/>
          <a:ext cx="541020" cy="320040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D8E8CD4B-7CF3-4A8C-8269-46068CB99239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18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0</xdr:row>
          <xdr:rowOff>45720</xdr:rowOff>
        </xdr:from>
        <xdr:to>
          <xdr:col>4</xdr:col>
          <xdr:colOff>1181100</xdr:colOff>
          <xdr:row>1</xdr:row>
          <xdr:rowOff>137160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1744980</xdr:colOff>
      <xdr:row>0</xdr:row>
      <xdr:rowOff>30480</xdr:rowOff>
    </xdr:from>
    <xdr:to>
      <xdr:col>4</xdr:col>
      <xdr:colOff>3223260</xdr:colOff>
      <xdr:row>1</xdr:row>
      <xdr:rowOff>152400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50B8C46B-E8B2-4F8A-B609-64E0BD93FB31}"/>
            </a:ext>
          </a:extLst>
        </xdr:cNvPr>
        <xdr:cNvSpPr/>
      </xdr:nvSpPr>
      <xdr:spPr>
        <a:xfrm flipH="1">
          <a:off x="2918460" y="30480"/>
          <a:ext cx="1478280" cy="3048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/>
            <a:t>RECORDS</a:t>
          </a:r>
        </a:p>
        <a:p>
          <a:pPr algn="ctr"/>
          <a:endParaRPr lang="en-IN" sz="1200" b="1"/>
        </a:p>
      </xdr:txBody>
    </xdr:sp>
    <xdr:clientData/>
  </xdr:twoCellAnchor>
  <xdr:twoCellAnchor editAs="oneCell">
    <xdr:from>
      <xdr:col>4</xdr:col>
      <xdr:colOff>297180</xdr:colOff>
      <xdr:row>0</xdr:row>
      <xdr:rowOff>15240</xdr:rowOff>
    </xdr:from>
    <xdr:to>
      <xdr:col>4</xdr:col>
      <xdr:colOff>678180</xdr:colOff>
      <xdr:row>1</xdr:row>
      <xdr:rowOff>149860</xdr:rowOff>
    </xdr:to>
    <xdr:pic macro="[0]!show_chart21">
      <xdr:nvPicPr>
        <xdr:cNvPr id="21" name="Picture 20" hidden="1">
          <a:extLst>
            <a:ext uri="{FF2B5EF4-FFF2-40B4-BE49-F238E27FC236}">
              <a16:creationId xmlns:a16="http://schemas.microsoft.com/office/drawing/2014/main" id="{F2B8578B-EBF1-48E5-A835-0FBFF88F6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5240"/>
          <a:ext cx="381000" cy="317500"/>
        </a:xfrm>
        <a:prstGeom prst="rect">
          <a:avLst/>
        </a:prstGeom>
        <a:solidFill>
          <a:schemeClr val="bg1"/>
        </a:solidFill>
        <a:ln w="12700"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3</xdr:col>
      <xdr:colOff>7620</xdr:colOff>
      <xdr:row>12</xdr:row>
      <xdr:rowOff>45720</xdr:rowOff>
    </xdr:from>
    <xdr:to>
      <xdr:col>5</xdr:col>
      <xdr:colOff>7620</xdr:colOff>
      <xdr:row>23</xdr:row>
      <xdr:rowOff>144780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6023823C-C51D-9698-F933-7D9BD3BC8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Rai" refreshedDate="46131.074356365738" createdVersion="8" refreshedVersion="8" minRefreshableVersion="3" recordCount="149" xr:uid="{A139808E-2193-4130-BC25-CF3824409605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iency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1">
      <sharedItems containsSemiMixedTypes="0" containsString="0" containsNumber="1" containsInteger="1" minValue="23" maxValue="107"/>
    </cacheField>
    <cacheField name="Active With Customer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00F676-2578-4314-926D-D03F7C71A53F}" name="PivotTable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0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numFmtId="1"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omer" fld="6" baseField="0" baseItem="0" numFmtId="9"/>
  </dataFields>
  <chartFormats count="7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Medium27" showRowHeaders="1" showColHeaders="1" showRowStripes="0" showColStripes="0" showLastColumn="1"/>
  <filters count="1">
    <filter fld="1" type="count" evalOrder="-1" id="23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C41F9-FB14-4A36-9466-2BDF0546A0F1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7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numFmtId="1"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 Of Working Hours of Emp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7" showRowHeaders="1" showColHeaders="1" showRowStripes="0" showColStripes="0" showLastColumn="1"/>
  <filters count="1">
    <filter fld="1" type="count" evalOrder="-1" id="21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0"/>
  <sheetViews>
    <sheetView workbookViewId="0">
      <selection activeCell="M16" sqref="M16"/>
    </sheetView>
  </sheetViews>
  <sheetFormatPr defaultRowHeight="14.4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s="1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13</v>
      </c>
    </row>
    <row r="3" spans="1:9" x14ac:dyDescent="0.3">
      <c r="A3" s="1" t="s">
        <v>14</v>
      </c>
      <c r="B3" s="2" t="s">
        <v>15</v>
      </c>
      <c r="C3" s="2" t="s">
        <v>16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17</v>
      </c>
    </row>
    <row r="4" spans="1:9" x14ac:dyDescent="0.3">
      <c r="A4" s="1" t="s">
        <v>18</v>
      </c>
      <c r="B4" s="2" t="s">
        <v>19</v>
      </c>
      <c r="C4" s="2" t="s">
        <v>20</v>
      </c>
      <c r="D4" s="2" t="s">
        <v>12</v>
      </c>
      <c r="E4" s="2" t="s">
        <v>12</v>
      </c>
      <c r="F4" s="2" t="s">
        <v>12</v>
      </c>
      <c r="G4" s="2" t="s">
        <v>21</v>
      </c>
      <c r="H4" s="2" t="s">
        <v>12</v>
      </c>
      <c r="I4" s="2" t="s">
        <v>22</v>
      </c>
    </row>
    <row r="5" spans="1:9" x14ac:dyDescent="0.3">
      <c r="A5" s="1" t="s">
        <v>23</v>
      </c>
      <c r="B5" s="2" t="s">
        <v>24</v>
      </c>
      <c r="C5" s="2" t="s">
        <v>25</v>
      </c>
      <c r="D5" s="2" t="s">
        <v>26</v>
      </c>
      <c r="E5" s="2" t="s">
        <v>12</v>
      </c>
      <c r="F5" s="2" t="s">
        <v>12</v>
      </c>
      <c r="G5" s="2" t="s">
        <v>12</v>
      </c>
      <c r="H5" s="2" t="s">
        <v>12</v>
      </c>
      <c r="I5" s="2" t="s">
        <v>27</v>
      </c>
    </row>
    <row r="6" spans="1:9" x14ac:dyDescent="0.3">
      <c r="A6" s="1" t="s">
        <v>28</v>
      </c>
      <c r="B6" s="2" t="s">
        <v>12</v>
      </c>
      <c r="C6" s="2" t="s">
        <v>29</v>
      </c>
      <c r="D6" s="2" t="s">
        <v>12</v>
      </c>
      <c r="E6" s="2" t="s">
        <v>12</v>
      </c>
      <c r="F6" s="2" t="s">
        <v>30</v>
      </c>
      <c r="G6" s="2" t="s">
        <v>12</v>
      </c>
      <c r="H6" s="2" t="s">
        <v>31</v>
      </c>
      <c r="I6" s="2" t="s">
        <v>32</v>
      </c>
    </row>
    <row r="7" spans="1:9" x14ac:dyDescent="0.3">
      <c r="A7" s="1" t="s">
        <v>33</v>
      </c>
      <c r="B7" s="2" t="s">
        <v>12</v>
      </c>
      <c r="C7" s="2" t="s">
        <v>34</v>
      </c>
      <c r="D7" s="2" t="s">
        <v>12</v>
      </c>
      <c r="E7" s="2" t="s">
        <v>12</v>
      </c>
      <c r="F7" s="2" t="s">
        <v>12</v>
      </c>
      <c r="G7" s="2" t="s">
        <v>35</v>
      </c>
      <c r="H7" s="2" t="s">
        <v>12</v>
      </c>
      <c r="I7" s="2" t="s">
        <v>36</v>
      </c>
    </row>
    <row r="8" spans="1:9" x14ac:dyDescent="0.3">
      <c r="A8" s="1" t="s">
        <v>37</v>
      </c>
      <c r="B8" s="2" t="s">
        <v>38</v>
      </c>
      <c r="C8" s="2" t="s">
        <v>39</v>
      </c>
      <c r="D8" s="2" t="s">
        <v>12</v>
      </c>
      <c r="E8" s="2" t="s">
        <v>12</v>
      </c>
      <c r="F8" s="2" t="s">
        <v>12</v>
      </c>
      <c r="G8" s="2" t="s">
        <v>12</v>
      </c>
      <c r="H8" s="2" t="s">
        <v>40</v>
      </c>
      <c r="I8" s="2" t="s">
        <v>41</v>
      </c>
    </row>
    <row r="9" spans="1:9" x14ac:dyDescent="0.3">
      <c r="A9" s="1" t="s">
        <v>42</v>
      </c>
      <c r="B9" s="2" t="s">
        <v>43</v>
      </c>
      <c r="C9" s="2" t="s">
        <v>44</v>
      </c>
      <c r="D9" s="2" t="s">
        <v>12</v>
      </c>
      <c r="E9" s="2" t="s">
        <v>12</v>
      </c>
      <c r="F9" s="2" t="s">
        <v>12</v>
      </c>
      <c r="G9" s="2" t="s">
        <v>12</v>
      </c>
      <c r="H9" s="2" t="s">
        <v>12</v>
      </c>
      <c r="I9" s="2" t="s">
        <v>45</v>
      </c>
    </row>
    <row r="10" spans="1:9" x14ac:dyDescent="0.3">
      <c r="A10" s="1" t="s">
        <v>46</v>
      </c>
      <c r="B10" s="2" t="s">
        <v>47</v>
      </c>
      <c r="C10" s="2" t="s">
        <v>48</v>
      </c>
      <c r="D10" s="2" t="s">
        <v>12</v>
      </c>
      <c r="E10" s="2" t="s">
        <v>12</v>
      </c>
      <c r="F10" s="2" t="s">
        <v>12</v>
      </c>
      <c r="G10" s="2" t="s">
        <v>12</v>
      </c>
      <c r="H10" s="2" t="s">
        <v>12</v>
      </c>
      <c r="I10" s="2" t="s">
        <v>49</v>
      </c>
    </row>
    <row r="11" spans="1:9" x14ac:dyDescent="0.3">
      <c r="A11" s="1" t="s">
        <v>50</v>
      </c>
      <c r="B11" s="2" t="s">
        <v>51</v>
      </c>
      <c r="C11" s="2" t="s">
        <v>52</v>
      </c>
      <c r="D11" s="2" t="s">
        <v>12</v>
      </c>
      <c r="E11" s="2" t="s">
        <v>12</v>
      </c>
      <c r="F11" s="2" t="s">
        <v>12</v>
      </c>
      <c r="G11" s="2" t="s">
        <v>12</v>
      </c>
      <c r="H11" s="2" t="s">
        <v>12</v>
      </c>
      <c r="I11" s="2" t="s">
        <v>53</v>
      </c>
    </row>
    <row r="12" spans="1:9" x14ac:dyDescent="0.3">
      <c r="A12" s="1" t="s">
        <v>54</v>
      </c>
      <c r="B12" s="2" t="s">
        <v>55</v>
      </c>
      <c r="C12" s="2" t="s">
        <v>56</v>
      </c>
      <c r="D12" s="2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57</v>
      </c>
    </row>
    <row r="13" spans="1:9" x14ac:dyDescent="0.3">
      <c r="A13" s="1" t="s">
        <v>58</v>
      </c>
      <c r="B13" s="2" t="s">
        <v>59</v>
      </c>
      <c r="C13" s="2" t="s">
        <v>52</v>
      </c>
      <c r="D13" s="2" t="s">
        <v>12</v>
      </c>
      <c r="E13" s="2" t="s">
        <v>60</v>
      </c>
      <c r="F13" s="2" t="s">
        <v>11</v>
      </c>
      <c r="G13" s="2" t="s">
        <v>61</v>
      </c>
      <c r="H13" s="2" t="s">
        <v>12</v>
      </c>
      <c r="I13" s="2" t="s">
        <v>62</v>
      </c>
    </row>
    <row r="14" spans="1:9" x14ac:dyDescent="0.3">
      <c r="A14" s="1" t="s">
        <v>63</v>
      </c>
      <c r="B14" s="2" t="s">
        <v>64</v>
      </c>
      <c r="C14" s="2" t="s">
        <v>65</v>
      </c>
      <c r="D14" s="2" t="s">
        <v>12</v>
      </c>
      <c r="E14" s="2" t="s">
        <v>66</v>
      </c>
      <c r="F14" s="2" t="s">
        <v>12</v>
      </c>
      <c r="G14" s="2" t="s">
        <v>12</v>
      </c>
      <c r="H14" s="2" t="s">
        <v>12</v>
      </c>
      <c r="I14" s="2" t="s">
        <v>67</v>
      </c>
    </row>
    <row r="15" spans="1:9" x14ac:dyDescent="0.3">
      <c r="A15" s="1" t="s">
        <v>68</v>
      </c>
      <c r="B15" s="2" t="s">
        <v>69</v>
      </c>
      <c r="C15" s="2" t="s">
        <v>70</v>
      </c>
      <c r="D15" s="2" t="s">
        <v>12</v>
      </c>
      <c r="E15" s="2" t="s">
        <v>12</v>
      </c>
      <c r="F15" s="2" t="s">
        <v>12</v>
      </c>
      <c r="G15" s="2" t="s">
        <v>12</v>
      </c>
      <c r="H15" s="2" t="s">
        <v>12</v>
      </c>
      <c r="I15" s="2" t="s">
        <v>71</v>
      </c>
    </row>
    <row r="16" spans="1:9" x14ac:dyDescent="0.3">
      <c r="A16" s="1" t="s">
        <v>72</v>
      </c>
      <c r="B16" s="2" t="s">
        <v>73</v>
      </c>
      <c r="C16" s="2" t="s">
        <v>20</v>
      </c>
      <c r="D16" s="2" t="s">
        <v>12</v>
      </c>
      <c r="E16" s="2" t="s">
        <v>12</v>
      </c>
      <c r="F16" s="2" t="s">
        <v>12</v>
      </c>
      <c r="G16" s="2" t="s">
        <v>74</v>
      </c>
      <c r="H16" s="2" t="s">
        <v>12</v>
      </c>
      <c r="I16" s="2" t="s">
        <v>75</v>
      </c>
    </row>
    <row r="17" spans="1:9" x14ac:dyDescent="0.3">
      <c r="A17" s="1" t="s">
        <v>76</v>
      </c>
      <c r="B17" s="2" t="s">
        <v>77</v>
      </c>
      <c r="C17" s="2" t="s">
        <v>78</v>
      </c>
      <c r="D17" s="2" t="s">
        <v>79</v>
      </c>
      <c r="E17" s="2" t="s">
        <v>12</v>
      </c>
      <c r="F17" s="2" t="s">
        <v>12</v>
      </c>
      <c r="G17" s="2" t="s">
        <v>12</v>
      </c>
      <c r="H17" s="2" t="s">
        <v>12</v>
      </c>
      <c r="I17" s="2" t="s">
        <v>80</v>
      </c>
    </row>
    <row r="18" spans="1:9" x14ac:dyDescent="0.3">
      <c r="A18" s="1" t="s">
        <v>81</v>
      </c>
      <c r="B18" s="2" t="s">
        <v>82</v>
      </c>
      <c r="C18" s="2" t="s">
        <v>83</v>
      </c>
      <c r="D18" s="2" t="s">
        <v>12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84</v>
      </c>
    </row>
    <row r="19" spans="1:9" x14ac:dyDescent="0.3">
      <c r="A19" s="1" t="s">
        <v>85</v>
      </c>
      <c r="B19" s="2" t="s">
        <v>86</v>
      </c>
      <c r="C19" s="2" t="s">
        <v>39</v>
      </c>
      <c r="D19" s="2" t="s">
        <v>12</v>
      </c>
      <c r="E19" s="2" t="s">
        <v>12</v>
      </c>
      <c r="F19" s="2" t="s">
        <v>12</v>
      </c>
      <c r="G19" s="2" t="s">
        <v>12</v>
      </c>
      <c r="H19" s="2" t="s">
        <v>12</v>
      </c>
      <c r="I19" s="2" t="s">
        <v>87</v>
      </c>
    </row>
    <row r="20" spans="1:9" x14ac:dyDescent="0.3">
      <c r="A20" s="1" t="s">
        <v>88</v>
      </c>
      <c r="B20" s="2" t="s">
        <v>89</v>
      </c>
      <c r="C20" s="2" t="s">
        <v>90</v>
      </c>
      <c r="D20" s="2" t="s">
        <v>12</v>
      </c>
      <c r="E20" s="2" t="s">
        <v>91</v>
      </c>
      <c r="F20" s="2" t="s">
        <v>92</v>
      </c>
      <c r="G20" s="2" t="s">
        <v>12</v>
      </c>
      <c r="H20" s="2" t="s">
        <v>12</v>
      </c>
      <c r="I20" s="2" t="s">
        <v>93</v>
      </c>
    </row>
    <row r="21" spans="1:9" x14ac:dyDescent="0.3">
      <c r="A21" s="1" t="s">
        <v>94</v>
      </c>
      <c r="B21" s="2" t="s">
        <v>95</v>
      </c>
      <c r="C21" s="2" t="s">
        <v>96</v>
      </c>
      <c r="D21" s="2" t="s">
        <v>12</v>
      </c>
      <c r="E21" s="2" t="s">
        <v>12</v>
      </c>
      <c r="F21" s="2" t="s">
        <v>12</v>
      </c>
      <c r="G21" s="2" t="s">
        <v>97</v>
      </c>
      <c r="H21" s="2" t="s">
        <v>12</v>
      </c>
      <c r="I21" s="2" t="s">
        <v>98</v>
      </c>
    </row>
    <row r="22" spans="1:9" x14ac:dyDescent="0.3">
      <c r="A22" s="1" t="s">
        <v>99</v>
      </c>
      <c r="B22" s="2" t="s">
        <v>100</v>
      </c>
      <c r="C22" s="2" t="s">
        <v>101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  <c r="I22" s="2" t="s">
        <v>102</v>
      </c>
    </row>
    <row r="23" spans="1:9" x14ac:dyDescent="0.3">
      <c r="A23" s="1" t="s">
        <v>103</v>
      </c>
      <c r="B23" s="2" t="s">
        <v>104</v>
      </c>
      <c r="C23" s="2" t="s">
        <v>105</v>
      </c>
      <c r="D23" s="2" t="s">
        <v>12</v>
      </c>
      <c r="E23" s="2" t="s">
        <v>12</v>
      </c>
      <c r="F23" s="2" t="s">
        <v>12</v>
      </c>
      <c r="G23" s="2" t="s">
        <v>12</v>
      </c>
      <c r="H23" s="2" t="s">
        <v>12</v>
      </c>
      <c r="I23" s="2" t="s">
        <v>106</v>
      </c>
    </row>
    <row r="24" spans="1:9" x14ac:dyDescent="0.3">
      <c r="A24" s="1" t="s">
        <v>107</v>
      </c>
      <c r="B24" s="2" t="s">
        <v>108</v>
      </c>
      <c r="C24" s="2" t="s">
        <v>109</v>
      </c>
      <c r="D24" s="2" t="s">
        <v>110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111</v>
      </c>
    </row>
    <row r="25" spans="1:9" x14ac:dyDescent="0.3">
      <c r="A25" s="1" t="s">
        <v>112</v>
      </c>
      <c r="B25" s="2" t="s">
        <v>113</v>
      </c>
      <c r="C25" s="2" t="s">
        <v>114</v>
      </c>
      <c r="D25" s="2" t="s">
        <v>12</v>
      </c>
      <c r="E25" s="2" t="s">
        <v>115</v>
      </c>
      <c r="F25" s="2" t="s">
        <v>12</v>
      </c>
      <c r="G25" s="2" t="s">
        <v>12</v>
      </c>
      <c r="H25" s="2" t="s">
        <v>12</v>
      </c>
      <c r="I25" s="2" t="s">
        <v>116</v>
      </c>
    </row>
    <row r="26" spans="1:9" x14ac:dyDescent="0.3">
      <c r="A26" s="1" t="s">
        <v>117</v>
      </c>
      <c r="B26" s="2" t="s">
        <v>118</v>
      </c>
      <c r="C26" s="2" t="s">
        <v>119</v>
      </c>
      <c r="D26" s="2" t="s">
        <v>12</v>
      </c>
      <c r="E26" s="2" t="s">
        <v>12</v>
      </c>
      <c r="F26" s="2" t="s">
        <v>12</v>
      </c>
      <c r="G26" s="2" t="s">
        <v>12</v>
      </c>
      <c r="H26" s="2" t="s">
        <v>12</v>
      </c>
      <c r="I26" s="2" t="s">
        <v>120</v>
      </c>
    </row>
    <row r="27" spans="1:9" x14ac:dyDescent="0.3">
      <c r="A27" s="1" t="s">
        <v>121</v>
      </c>
      <c r="B27" s="2" t="s">
        <v>12</v>
      </c>
      <c r="C27" s="2" t="s">
        <v>122</v>
      </c>
      <c r="D27" s="2" t="s">
        <v>12</v>
      </c>
      <c r="E27" s="2" t="s">
        <v>12</v>
      </c>
      <c r="F27" s="2" t="s">
        <v>12</v>
      </c>
      <c r="G27" s="2" t="s">
        <v>12</v>
      </c>
      <c r="H27" s="2" t="s">
        <v>12</v>
      </c>
      <c r="I27" s="2" t="s">
        <v>123</v>
      </c>
    </row>
    <row r="28" spans="1:9" x14ac:dyDescent="0.3">
      <c r="A28" s="1" t="s">
        <v>124</v>
      </c>
      <c r="B28" s="2" t="s">
        <v>125</v>
      </c>
      <c r="C28" s="2" t="s">
        <v>126</v>
      </c>
      <c r="D28" s="2" t="s">
        <v>12</v>
      </c>
      <c r="E28" s="2" t="s">
        <v>12</v>
      </c>
      <c r="F28" s="2" t="s">
        <v>12</v>
      </c>
      <c r="G28" s="2" t="s">
        <v>12</v>
      </c>
      <c r="H28" s="2" t="s">
        <v>12</v>
      </c>
      <c r="I28" s="2" t="s">
        <v>127</v>
      </c>
    </row>
    <row r="29" spans="1:9" x14ac:dyDescent="0.3">
      <c r="A29" s="1" t="s">
        <v>128</v>
      </c>
      <c r="B29" s="2" t="s">
        <v>129</v>
      </c>
      <c r="C29" s="2" t="s">
        <v>130</v>
      </c>
      <c r="D29" s="2" t="s">
        <v>12</v>
      </c>
      <c r="E29" s="2" t="s">
        <v>12</v>
      </c>
      <c r="F29" s="2" t="s">
        <v>12</v>
      </c>
      <c r="G29" s="2" t="s">
        <v>12</v>
      </c>
      <c r="H29" s="2" t="s">
        <v>12</v>
      </c>
      <c r="I29" s="2" t="s">
        <v>131</v>
      </c>
    </row>
    <row r="30" spans="1:9" x14ac:dyDescent="0.3">
      <c r="A30" s="1" t="s">
        <v>132</v>
      </c>
      <c r="B30" s="2" t="s">
        <v>133</v>
      </c>
      <c r="C30" s="2" t="s">
        <v>134</v>
      </c>
      <c r="D30" s="2" t="s">
        <v>12</v>
      </c>
      <c r="E30" s="2" t="s">
        <v>135</v>
      </c>
      <c r="F30" s="2" t="s">
        <v>136</v>
      </c>
      <c r="G30" s="2" t="s">
        <v>12</v>
      </c>
      <c r="H30" s="2" t="s">
        <v>12</v>
      </c>
      <c r="I30" s="2" t="s">
        <v>137</v>
      </c>
    </row>
    <row r="31" spans="1:9" x14ac:dyDescent="0.3">
      <c r="A31" s="1" t="s">
        <v>138</v>
      </c>
      <c r="B31" s="2" t="s">
        <v>12</v>
      </c>
      <c r="C31" s="2" t="s">
        <v>139</v>
      </c>
      <c r="D31" s="2" t="s">
        <v>12</v>
      </c>
      <c r="E31" s="2" t="s">
        <v>12</v>
      </c>
      <c r="F31" s="2" t="s">
        <v>140</v>
      </c>
      <c r="G31" s="2" t="s">
        <v>141</v>
      </c>
      <c r="H31" s="2" t="s">
        <v>12</v>
      </c>
      <c r="I31" s="2" t="s">
        <v>142</v>
      </c>
    </row>
    <row r="32" spans="1:9" x14ac:dyDescent="0.3">
      <c r="A32" s="1" t="s">
        <v>143</v>
      </c>
      <c r="B32" s="2" t="s">
        <v>113</v>
      </c>
      <c r="C32" s="2" t="s">
        <v>144</v>
      </c>
      <c r="D32" s="2" t="s">
        <v>12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57</v>
      </c>
    </row>
    <row r="33" spans="1:9" x14ac:dyDescent="0.3">
      <c r="A33" s="1" t="s">
        <v>145</v>
      </c>
      <c r="B33" s="2" t="s">
        <v>146</v>
      </c>
      <c r="C33" s="2" t="s">
        <v>147</v>
      </c>
      <c r="D33" s="2" t="s">
        <v>12</v>
      </c>
      <c r="E33" s="2" t="s">
        <v>148</v>
      </c>
      <c r="F33" s="2" t="s">
        <v>12</v>
      </c>
      <c r="G33" s="2" t="s">
        <v>12</v>
      </c>
      <c r="H33" s="2" t="s">
        <v>12</v>
      </c>
      <c r="I33" s="2" t="s">
        <v>149</v>
      </c>
    </row>
    <row r="34" spans="1:9" x14ac:dyDescent="0.3">
      <c r="A34" s="1" t="s">
        <v>150</v>
      </c>
      <c r="B34" s="2" t="s">
        <v>77</v>
      </c>
      <c r="C34" s="2" t="s">
        <v>151</v>
      </c>
      <c r="D34" s="2" t="s">
        <v>12</v>
      </c>
      <c r="E34" s="2" t="s">
        <v>12</v>
      </c>
      <c r="F34" s="2" t="s">
        <v>12</v>
      </c>
      <c r="G34" s="2" t="s">
        <v>12</v>
      </c>
      <c r="H34" s="2" t="s">
        <v>12</v>
      </c>
      <c r="I34" s="2" t="s">
        <v>152</v>
      </c>
    </row>
    <row r="35" spans="1:9" x14ac:dyDescent="0.3">
      <c r="A35" s="1" t="s">
        <v>153</v>
      </c>
      <c r="B35" s="2" t="s">
        <v>154</v>
      </c>
      <c r="C35" s="2" t="s">
        <v>155</v>
      </c>
      <c r="D35" s="2" t="s">
        <v>12</v>
      </c>
      <c r="E35" s="2" t="s">
        <v>12</v>
      </c>
      <c r="F35" s="2" t="s">
        <v>12</v>
      </c>
      <c r="G35" s="2" t="s">
        <v>12</v>
      </c>
      <c r="H35" s="2" t="s">
        <v>12</v>
      </c>
      <c r="I35" s="2" t="s">
        <v>156</v>
      </c>
    </row>
    <row r="36" spans="1:9" x14ac:dyDescent="0.3">
      <c r="A36" s="1" t="s">
        <v>157</v>
      </c>
      <c r="B36" s="2" t="s">
        <v>12</v>
      </c>
      <c r="C36" s="2" t="s">
        <v>158</v>
      </c>
      <c r="D36" s="2" t="s">
        <v>159</v>
      </c>
      <c r="E36" s="2" t="s">
        <v>12</v>
      </c>
      <c r="F36" s="2" t="s">
        <v>12</v>
      </c>
      <c r="G36" s="2" t="s">
        <v>12</v>
      </c>
      <c r="H36" s="2" t="s">
        <v>12</v>
      </c>
      <c r="I36" s="2" t="s">
        <v>160</v>
      </c>
    </row>
    <row r="37" spans="1:9" x14ac:dyDescent="0.3">
      <c r="A37" s="1" t="s">
        <v>161</v>
      </c>
      <c r="B37" s="2" t="s">
        <v>162</v>
      </c>
      <c r="C37" s="2" t="s">
        <v>163</v>
      </c>
      <c r="D37" s="2" t="s">
        <v>12</v>
      </c>
      <c r="E37" s="2" t="s">
        <v>164</v>
      </c>
      <c r="F37" s="2" t="s">
        <v>165</v>
      </c>
      <c r="G37" s="2" t="s">
        <v>12</v>
      </c>
      <c r="H37" s="2" t="s">
        <v>12</v>
      </c>
      <c r="I37" s="2" t="s">
        <v>166</v>
      </c>
    </row>
    <row r="38" spans="1:9" x14ac:dyDescent="0.3">
      <c r="A38" s="1" t="s">
        <v>167</v>
      </c>
      <c r="B38" s="2" t="s">
        <v>168</v>
      </c>
      <c r="C38" s="2" t="s">
        <v>169</v>
      </c>
      <c r="D38" s="2" t="s">
        <v>12</v>
      </c>
      <c r="E38" s="2" t="s">
        <v>12</v>
      </c>
      <c r="F38" s="2" t="s">
        <v>12</v>
      </c>
      <c r="G38" s="2" t="s">
        <v>12</v>
      </c>
      <c r="H38" s="2" t="s">
        <v>12</v>
      </c>
      <c r="I38" s="2" t="s">
        <v>170</v>
      </c>
    </row>
    <row r="39" spans="1:9" x14ac:dyDescent="0.3">
      <c r="A39" s="1" t="s">
        <v>171</v>
      </c>
      <c r="B39" s="2" t="s">
        <v>15</v>
      </c>
      <c r="C39" s="2" t="s">
        <v>20</v>
      </c>
      <c r="D39" s="2" t="s">
        <v>12</v>
      </c>
      <c r="E39" s="2" t="s">
        <v>12</v>
      </c>
      <c r="F39" s="2" t="s">
        <v>12</v>
      </c>
      <c r="G39" s="2" t="s">
        <v>12</v>
      </c>
      <c r="H39" s="2" t="s">
        <v>12</v>
      </c>
      <c r="I39" s="2" t="s">
        <v>172</v>
      </c>
    </row>
    <row r="40" spans="1:9" x14ac:dyDescent="0.3">
      <c r="A40" s="1" t="s">
        <v>173</v>
      </c>
      <c r="B40" s="2" t="s">
        <v>174</v>
      </c>
      <c r="C40" s="2" t="s">
        <v>175</v>
      </c>
      <c r="D40" s="2" t="s">
        <v>12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176</v>
      </c>
    </row>
    <row r="41" spans="1:9" x14ac:dyDescent="0.3">
      <c r="A41" s="1" t="s">
        <v>177</v>
      </c>
      <c r="B41" s="2" t="s">
        <v>178</v>
      </c>
      <c r="C41" s="2" t="s">
        <v>179</v>
      </c>
      <c r="D41" s="2" t="s">
        <v>12</v>
      </c>
      <c r="E41" s="2" t="s">
        <v>12</v>
      </c>
      <c r="F41" s="2" t="s">
        <v>12</v>
      </c>
      <c r="G41" s="2" t="s">
        <v>12</v>
      </c>
      <c r="H41" s="2" t="s">
        <v>12</v>
      </c>
      <c r="I41" s="2" t="s">
        <v>180</v>
      </c>
    </row>
    <row r="42" spans="1:9" x14ac:dyDescent="0.3">
      <c r="A42" s="1" t="s">
        <v>181</v>
      </c>
      <c r="B42" s="2" t="s">
        <v>182</v>
      </c>
      <c r="C42" s="2" t="s">
        <v>183</v>
      </c>
      <c r="D42" s="2" t="s">
        <v>12</v>
      </c>
      <c r="E42" s="2" t="s">
        <v>12</v>
      </c>
      <c r="F42" s="2" t="s">
        <v>12</v>
      </c>
      <c r="G42" s="2" t="s">
        <v>12</v>
      </c>
      <c r="H42" s="2" t="s">
        <v>12</v>
      </c>
      <c r="I42" s="2" t="s">
        <v>184</v>
      </c>
    </row>
    <row r="43" spans="1:9" x14ac:dyDescent="0.3">
      <c r="A43" s="1" t="s">
        <v>185</v>
      </c>
      <c r="B43" s="2" t="s">
        <v>186</v>
      </c>
      <c r="C43" s="2" t="s">
        <v>187</v>
      </c>
      <c r="D43" s="2" t="s">
        <v>12</v>
      </c>
      <c r="E43" s="2" t="s">
        <v>12</v>
      </c>
      <c r="F43" s="2" t="s">
        <v>188</v>
      </c>
      <c r="G43" s="2" t="s">
        <v>12</v>
      </c>
      <c r="H43" s="2" t="s">
        <v>12</v>
      </c>
      <c r="I43" s="2" t="s">
        <v>189</v>
      </c>
    </row>
    <row r="44" spans="1:9" x14ac:dyDescent="0.3">
      <c r="A44" s="1" t="s">
        <v>190</v>
      </c>
      <c r="B44" s="2" t="s">
        <v>12</v>
      </c>
      <c r="C44" s="2" t="s">
        <v>191</v>
      </c>
      <c r="D44" s="2" t="s">
        <v>12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192</v>
      </c>
    </row>
    <row r="45" spans="1:9" x14ac:dyDescent="0.3">
      <c r="A45" s="1" t="s">
        <v>193</v>
      </c>
      <c r="B45" s="2" t="s">
        <v>194</v>
      </c>
      <c r="C45" s="2" t="s">
        <v>39</v>
      </c>
      <c r="D45" s="2" t="s">
        <v>12</v>
      </c>
      <c r="E45" s="2" t="s">
        <v>12</v>
      </c>
      <c r="F45" s="2" t="s">
        <v>12</v>
      </c>
      <c r="G45" s="2" t="s">
        <v>195</v>
      </c>
      <c r="H45" s="2" t="s">
        <v>12</v>
      </c>
      <c r="I45" s="2" t="s">
        <v>196</v>
      </c>
    </row>
    <row r="46" spans="1:9" x14ac:dyDescent="0.3">
      <c r="A46" s="1" t="s">
        <v>197</v>
      </c>
      <c r="B46" s="2" t="s">
        <v>198</v>
      </c>
      <c r="C46" s="2" t="s">
        <v>199</v>
      </c>
      <c r="D46" s="2" t="s">
        <v>12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200</v>
      </c>
    </row>
    <row r="47" spans="1:9" x14ac:dyDescent="0.3">
      <c r="A47" s="1" t="s">
        <v>201</v>
      </c>
      <c r="B47" s="2" t="s">
        <v>202</v>
      </c>
      <c r="C47" s="2" t="s">
        <v>203</v>
      </c>
      <c r="D47" s="2" t="s">
        <v>204</v>
      </c>
      <c r="E47" s="2" t="s">
        <v>12</v>
      </c>
      <c r="F47" s="2" t="s">
        <v>12</v>
      </c>
      <c r="G47" s="2" t="s">
        <v>12</v>
      </c>
      <c r="H47" s="2" t="s">
        <v>12</v>
      </c>
      <c r="I47" s="2" t="s">
        <v>205</v>
      </c>
    </row>
    <row r="48" spans="1:9" x14ac:dyDescent="0.3">
      <c r="A48" s="1" t="s">
        <v>206</v>
      </c>
      <c r="B48" s="2" t="s">
        <v>146</v>
      </c>
      <c r="C48" s="2" t="s">
        <v>203</v>
      </c>
      <c r="D48" s="2" t="s">
        <v>12</v>
      </c>
      <c r="E48" s="2" t="s">
        <v>12</v>
      </c>
      <c r="F48" s="2" t="s">
        <v>12</v>
      </c>
      <c r="G48" s="2" t="s">
        <v>12</v>
      </c>
      <c r="H48" s="2" t="s">
        <v>12</v>
      </c>
      <c r="I48" s="2" t="s">
        <v>207</v>
      </c>
    </row>
    <row r="49" spans="1:9" x14ac:dyDescent="0.3">
      <c r="A49" s="1" t="s">
        <v>208</v>
      </c>
      <c r="B49" s="2" t="s">
        <v>86</v>
      </c>
      <c r="C49" s="2" t="s">
        <v>209</v>
      </c>
      <c r="D49" s="2" t="s">
        <v>12</v>
      </c>
      <c r="E49" s="2" t="s">
        <v>12</v>
      </c>
      <c r="F49" s="2" t="s">
        <v>12</v>
      </c>
      <c r="G49" s="2" t="s">
        <v>12</v>
      </c>
      <c r="H49" s="2" t="s">
        <v>12</v>
      </c>
      <c r="I49" s="2" t="s">
        <v>196</v>
      </c>
    </row>
    <row r="50" spans="1:9" x14ac:dyDescent="0.3">
      <c r="A50" s="1" t="s">
        <v>210</v>
      </c>
      <c r="B50" s="2" t="s">
        <v>108</v>
      </c>
      <c r="C50" s="2" t="s">
        <v>211</v>
      </c>
      <c r="D50" s="2" t="s">
        <v>12</v>
      </c>
      <c r="E50" s="2" t="s">
        <v>12</v>
      </c>
      <c r="F50" s="2" t="s">
        <v>12</v>
      </c>
      <c r="G50" s="2" t="s">
        <v>12</v>
      </c>
      <c r="H50" s="2" t="s">
        <v>12</v>
      </c>
      <c r="I50" s="2" t="s">
        <v>212</v>
      </c>
    </row>
    <row r="51" spans="1:9" x14ac:dyDescent="0.3">
      <c r="A51" s="1" t="s">
        <v>213</v>
      </c>
      <c r="B51" s="2" t="s">
        <v>12</v>
      </c>
      <c r="C51" s="2" t="s">
        <v>214</v>
      </c>
      <c r="D51" s="2" t="s">
        <v>12</v>
      </c>
      <c r="E51" s="2" t="s">
        <v>12</v>
      </c>
      <c r="F51" s="2" t="s">
        <v>12</v>
      </c>
      <c r="G51" s="2" t="s">
        <v>215</v>
      </c>
      <c r="H51" s="2" t="s">
        <v>12</v>
      </c>
      <c r="I51" s="2" t="s">
        <v>216</v>
      </c>
    </row>
    <row r="52" spans="1:9" x14ac:dyDescent="0.3">
      <c r="A52" s="1" t="s">
        <v>217</v>
      </c>
      <c r="B52" s="2" t="s">
        <v>218</v>
      </c>
      <c r="C52" s="2" t="s">
        <v>219</v>
      </c>
      <c r="D52" s="2" t="s">
        <v>12</v>
      </c>
      <c r="E52" s="2" t="s">
        <v>12</v>
      </c>
      <c r="F52" s="2" t="s">
        <v>12</v>
      </c>
      <c r="G52" s="2" t="s">
        <v>220</v>
      </c>
      <c r="H52" s="2" t="s">
        <v>12</v>
      </c>
      <c r="I52" s="2" t="s">
        <v>221</v>
      </c>
    </row>
    <row r="53" spans="1:9" x14ac:dyDescent="0.3">
      <c r="A53" s="1" t="s">
        <v>222</v>
      </c>
      <c r="B53" s="2" t="s">
        <v>38</v>
      </c>
      <c r="C53" s="2" t="s">
        <v>126</v>
      </c>
      <c r="D53" s="2" t="s">
        <v>12</v>
      </c>
      <c r="E53" s="2" t="s">
        <v>12</v>
      </c>
      <c r="F53" s="2" t="s">
        <v>12</v>
      </c>
      <c r="G53" s="2" t="s">
        <v>12</v>
      </c>
      <c r="H53" s="2" t="s">
        <v>12</v>
      </c>
      <c r="I53" s="2" t="s">
        <v>223</v>
      </c>
    </row>
    <row r="54" spans="1:9" x14ac:dyDescent="0.3">
      <c r="A54" s="1" t="s">
        <v>224</v>
      </c>
      <c r="B54" s="2" t="s">
        <v>225</v>
      </c>
      <c r="C54" s="2" t="s">
        <v>39</v>
      </c>
      <c r="D54" s="2" t="s">
        <v>12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226</v>
      </c>
    </row>
    <row r="55" spans="1:9" x14ac:dyDescent="0.3">
      <c r="A55" s="1" t="s">
        <v>227</v>
      </c>
      <c r="B55" s="2" t="s">
        <v>228</v>
      </c>
      <c r="C55" s="2" t="s">
        <v>229</v>
      </c>
      <c r="D55" s="2" t="s">
        <v>12</v>
      </c>
      <c r="E55" s="2" t="s">
        <v>12</v>
      </c>
      <c r="F55" s="2" t="s">
        <v>12</v>
      </c>
      <c r="G55" s="2" t="s">
        <v>12</v>
      </c>
      <c r="H55" s="2" t="s">
        <v>12</v>
      </c>
      <c r="I55" s="2" t="s">
        <v>230</v>
      </c>
    </row>
    <row r="56" spans="1:9" x14ac:dyDescent="0.3">
      <c r="A56" s="1" t="s">
        <v>231</v>
      </c>
      <c r="B56" s="2" t="s">
        <v>232</v>
      </c>
      <c r="C56" s="2" t="s">
        <v>233</v>
      </c>
      <c r="D56" s="2" t="s">
        <v>12</v>
      </c>
      <c r="E56" s="2" t="s">
        <v>12</v>
      </c>
      <c r="F56" s="2" t="s">
        <v>12</v>
      </c>
      <c r="G56" s="2" t="s">
        <v>12</v>
      </c>
      <c r="H56" s="2" t="s">
        <v>12</v>
      </c>
      <c r="I56" s="2" t="s">
        <v>234</v>
      </c>
    </row>
    <row r="57" spans="1:9" x14ac:dyDescent="0.3">
      <c r="A57" s="1" t="s">
        <v>235</v>
      </c>
      <c r="B57" s="2" t="s">
        <v>125</v>
      </c>
      <c r="C57" s="2" t="s">
        <v>203</v>
      </c>
      <c r="D57" s="2" t="s">
        <v>12</v>
      </c>
      <c r="E57" s="2" t="s">
        <v>12</v>
      </c>
      <c r="F57" s="2" t="s">
        <v>12</v>
      </c>
      <c r="G57" s="2" t="s">
        <v>12</v>
      </c>
      <c r="H57" s="2" t="s">
        <v>12</v>
      </c>
      <c r="I57" s="2" t="s">
        <v>236</v>
      </c>
    </row>
    <row r="58" spans="1:9" x14ac:dyDescent="0.3">
      <c r="A58" s="1" t="s">
        <v>237</v>
      </c>
      <c r="B58" s="2" t="s">
        <v>15</v>
      </c>
      <c r="C58" s="2" t="s">
        <v>203</v>
      </c>
      <c r="D58" s="2" t="s">
        <v>12</v>
      </c>
      <c r="E58" s="2" t="s">
        <v>12</v>
      </c>
      <c r="F58" s="2" t="s">
        <v>12</v>
      </c>
      <c r="G58" s="2" t="s">
        <v>12</v>
      </c>
      <c r="H58" s="2" t="s">
        <v>12</v>
      </c>
      <c r="I58" s="2" t="s">
        <v>238</v>
      </c>
    </row>
    <row r="59" spans="1:9" x14ac:dyDescent="0.3">
      <c r="A59" s="1" t="s">
        <v>239</v>
      </c>
      <c r="B59" s="2" t="s">
        <v>47</v>
      </c>
      <c r="C59" s="2" t="s">
        <v>240</v>
      </c>
      <c r="D59" s="2" t="s">
        <v>12</v>
      </c>
      <c r="E59" s="2" t="s">
        <v>12</v>
      </c>
      <c r="F59" s="2" t="s">
        <v>12</v>
      </c>
      <c r="G59" s="2" t="s">
        <v>12</v>
      </c>
      <c r="H59" s="2" t="s">
        <v>12</v>
      </c>
      <c r="I59" s="2" t="s">
        <v>241</v>
      </c>
    </row>
    <row r="60" spans="1:9" x14ac:dyDescent="0.3">
      <c r="A60" s="1" t="s">
        <v>242</v>
      </c>
      <c r="B60" s="2" t="s">
        <v>243</v>
      </c>
      <c r="C60" s="2" t="s">
        <v>211</v>
      </c>
      <c r="D60" s="2" t="s">
        <v>12</v>
      </c>
      <c r="E60" s="2" t="s">
        <v>244</v>
      </c>
      <c r="F60" s="2" t="s">
        <v>245</v>
      </c>
      <c r="G60" s="2" t="s">
        <v>12</v>
      </c>
      <c r="H60" s="2" t="s">
        <v>12</v>
      </c>
      <c r="I60" s="2" t="s">
        <v>246</v>
      </c>
    </row>
    <row r="61" spans="1:9" x14ac:dyDescent="0.3">
      <c r="A61" s="1" t="s">
        <v>247</v>
      </c>
      <c r="B61" s="2" t="s">
        <v>86</v>
      </c>
      <c r="C61" s="2" t="s">
        <v>248</v>
      </c>
      <c r="D61" s="2" t="s">
        <v>12</v>
      </c>
      <c r="E61" s="2" t="s">
        <v>249</v>
      </c>
      <c r="F61" s="2" t="s">
        <v>12</v>
      </c>
      <c r="G61" s="2" t="s">
        <v>250</v>
      </c>
      <c r="H61" s="2" t="s">
        <v>12</v>
      </c>
      <c r="I61" s="2" t="s">
        <v>251</v>
      </c>
    </row>
    <row r="62" spans="1:9" x14ac:dyDescent="0.3">
      <c r="A62" s="1" t="s">
        <v>252</v>
      </c>
      <c r="B62" s="2" t="s">
        <v>12</v>
      </c>
      <c r="C62" s="2" t="s">
        <v>253</v>
      </c>
      <c r="D62" s="2" t="s">
        <v>12</v>
      </c>
      <c r="E62" s="2" t="s">
        <v>12</v>
      </c>
      <c r="F62" s="2" t="s">
        <v>12</v>
      </c>
      <c r="G62" s="2" t="s">
        <v>12</v>
      </c>
      <c r="H62" s="2" t="s">
        <v>12</v>
      </c>
      <c r="I62" s="2" t="s">
        <v>254</v>
      </c>
    </row>
    <row r="63" spans="1:9" x14ac:dyDescent="0.3">
      <c r="A63" s="1" t="s">
        <v>255</v>
      </c>
      <c r="B63" s="2" t="s">
        <v>108</v>
      </c>
      <c r="C63" s="2" t="s">
        <v>52</v>
      </c>
      <c r="D63" s="2" t="s">
        <v>256</v>
      </c>
      <c r="E63" s="2" t="s">
        <v>12</v>
      </c>
      <c r="F63" s="2" t="s">
        <v>12</v>
      </c>
      <c r="G63" s="2" t="s">
        <v>12</v>
      </c>
      <c r="H63" s="2" t="s">
        <v>12</v>
      </c>
      <c r="I63" s="2" t="s">
        <v>257</v>
      </c>
    </row>
    <row r="64" spans="1:9" x14ac:dyDescent="0.3">
      <c r="A64" s="1" t="s">
        <v>258</v>
      </c>
      <c r="B64" s="2" t="s">
        <v>113</v>
      </c>
      <c r="C64" s="2" t="s">
        <v>233</v>
      </c>
      <c r="D64" s="2" t="s">
        <v>12</v>
      </c>
      <c r="E64" s="2" t="s">
        <v>259</v>
      </c>
      <c r="F64" s="2" t="s">
        <v>260</v>
      </c>
      <c r="G64" s="2" t="s">
        <v>12</v>
      </c>
      <c r="H64" s="2" t="s">
        <v>12</v>
      </c>
      <c r="I64" s="2" t="s">
        <v>261</v>
      </c>
    </row>
    <row r="65" spans="1:9" x14ac:dyDescent="0.3">
      <c r="A65" s="1" t="s">
        <v>262</v>
      </c>
      <c r="B65" s="2" t="s">
        <v>263</v>
      </c>
      <c r="C65" s="2" t="s">
        <v>264</v>
      </c>
      <c r="D65" s="2" t="s">
        <v>12</v>
      </c>
      <c r="E65" s="2" t="s">
        <v>265</v>
      </c>
      <c r="F65" s="2" t="s">
        <v>266</v>
      </c>
      <c r="G65" s="2" t="s">
        <v>12</v>
      </c>
      <c r="H65" s="2" t="s">
        <v>12</v>
      </c>
      <c r="I65" s="2" t="s">
        <v>267</v>
      </c>
    </row>
    <row r="66" spans="1:9" x14ac:dyDescent="0.3">
      <c r="A66" s="1" t="s">
        <v>268</v>
      </c>
      <c r="B66" s="2" t="s">
        <v>12</v>
      </c>
      <c r="C66" s="2" t="s">
        <v>269</v>
      </c>
      <c r="D66" s="2" t="s">
        <v>12</v>
      </c>
      <c r="E66" s="2" t="s">
        <v>12</v>
      </c>
      <c r="F66" s="2" t="s">
        <v>12</v>
      </c>
      <c r="G66" s="2" t="s">
        <v>270</v>
      </c>
      <c r="H66" s="2" t="s">
        <v>12</v>
      </c>
      <c r="I66" s="2" t="s">
        <v>271</v>
      </c>
    </row>
    <row r="67" spans="1:9" x14ac:dyDescent="0.3">
      <c r="A67" s="1" t="s">
        <v>272</v>
      </c>
      <c r="B67" s="2" t="s">
        <v>168</v>
      </c>
      <c r="C67" s="2" t="s">
        <v>273</v>
      </c>
      <c r="D67" s="2" t="s">
        <v>12</v>
      </c>
      <c r="E67" s="2" t="s">
        <v>12</v>
      </c>
      <c r="F67" s="2" t="s">
        <v>12</v>
      </c>
      <c r="G67" s="2" t="s">
        <v>12</v>
      </c>
      <c r="H67" s="2" t="s">
        <v>12</v>
      </c>
      <c r="I67" s="2" t="s">
        <v>274</v>
      </c>
    </row>
    <row r="68" spans="1:9" x14ac:dyDescent="0.3">
      <c r="A68" s="1" t="s">
        <v>275</v>
      </c>
      <c r="B68" s="2" t="s">
        <v>276</v>
      </c>
      <c r="C68" s="2" t="s">
        <v>277</v>
      </c>
      <c r="D68" s="2" t="s">
        <v>12</v>
      </c>
      <c r="E68" s="2" t="s">
        <v>12</v>
      </c>
      <c r="F68" s="2" t="s">
        <v>12</v>
      </c>
      <c r="G68" s="2" t="s">
        <v>12</v>
      </c>
      <c r="H68" s="2" t="s">
        <v>12</v>
      </c>
      <c r="I68" s="2" t="s">
        <v>278</v>
      </c>
    </row>
    <row r="69" spans="1:9" x14ac:dyDescent="0.3">
      <c r="A69" s="1" t="s">
        <v>279</v>
      </c>
      <c r="B69" s="2" t="s">
        <v>19</v>
      </c>
      <c r="C69" s="2" t="s">
        <v>280</v>
      </c>
      <c r="D69" s="2" t="s">
        <v>281</v>
      </c>
      <c r="E69" s="2" t="s">
        <v>12</v>
      </c>
      <c r="F69" s="2" t="s">
        <v>12</v>
      </c>
      <c r="G69" s="2" t="s">
        <v>12</v>
      </c>
      <c r="H69" s="2" t="s">
        <v>12</v>
      </c>
      <c r="I69" s="2" t="s">
        <v>282</v>
      </c>
    </row>
    <row r="70" spans="1:9" x14ac:dyDescent="0.3">
      <c r="A70" s="1" t="s">
        <v>283</v>
      </c>
      <c r="B70" s="2" t="s">
        <v>38</v>
      </c>
      <c r="C70" s="2" t="s">
        <v>16</v>
      </c>
      <c r="D70" s="2" t="s">
        <v>12</v>
      </c>
      <c r="E70" s="2" t="s">
        <v>12</v>
      </c>
      <c r="F70" s="2" t="s">
        <v>12</v>
      </c>
      <c r="G70" s="2" t="s">
        <v>12</v>
      </c>
      <c r="H70" s="2" t="s">
        <v>12</v>
      </c>
      <c r="I70" s="2" t="s">
        <v>131</v>
      </c>
    </row>
    <row r="71" spans="1:9" x14ac:dyDescent="0.3">
      <c r="A71" s="1" t="s">
        <v>284</v>
      </c>
      <c r="B71" s="2" t="s">
        <v>285</v>
      </c>
      <c r="C71" s="2" t="s">
        <v>286</v>
      </c>
      <c r="D71" s="2" t="s">
        <v>12</v>
      </c>
      <c r="E71" s="2" t="s">
        <v>12</v>
      </c>
      <c r="F71" s="2" t="s">
        <v>287</v>
      </c>
      <c r="G71" s="2" t="s">
        <v>12</v>
      </c>
      <c r="H71" s="2" t="s">
        <v>12</v>
      </c>
      <c r="I71" s="2" t="s">
        <v>288</v>
      </c>
    </row>
    <row r="72" spans="1:9" x14ac:dyDescent="0.3">
      <c r="A72" s="1" t="s">
        <v>289</v>
      </c>
      <c r="B72" s="2" t="s">
        <v>125</v>
      </c>
      <c r="C72" s="2" t="s">
        <v>290</v>
      </c>
      <c r="D72" s="2" t="s">
        <v>12</v>
      </c>
      <c r="E72" s="2" t="s">
        <v>12</v>
      </c>
      <c r="F72" s="2" t="s">
        <v>12</v>
      </c>
      <c r="G72" s="2" t="s">
        <v>12</v>
      </c>
      <c r="H72" s="2" t="s">
        <v>12</v>
      </c>
      <c r="I72" s="2" t="s">
        <v>236</v>
      </c>
    </row>
    <row r="73" spans="1:9" x14ac:dyDescent="0.3">
      <c r="A73" s="1" t="s">
        <v>291</v>
      </c>
      <c r="B73" s="2" t="s">
        <v>168</v>
      </c>
      <c r="C73" s="2" t="s">
        <v>292</v>
      </c>
      <c r="D73" s="2" t="s">
        <v>12</v>
      </c>
      <c r="E73" s="2" t="s">
        <v>12</v>
      </c>
      <c r="F73" s="2" t="s">
        <v>293</v>
      </c>
      <c r="G73" s="2" t="s">
        <v>12</v>
      </c>
      <c r="H73" s="2" t="s">
        <v>12</v>
      </c>
      <c r="I73" s="2" t="s">
        <v>294</v>
      </c>
    </row>
    <row r="74" spans="1:9" x14ac:dyDescent="0.3">
      <c r="A74" s="1" t="s">
        <v>295</v>
      </c>
      <c r="B74" s="2" t="s">
        <v>162</v>
      </c>
      <c r="C74" s="2" t="s">
        <v>296</v>
      </c>
      <c r="D74" s="2" t="s">
        <v>297</v>
      </c>
      <c r="E74" s="2" t="s">
        <v>12</v>
      </c>
      <c r="F74" s="2" t="s">
        <v>12</v>
      </c>
      <c r="G74" s="2" t="s">
        <v>12</v>
      </c>
      <c r="H74" s="2" t="s">
        <v>12</v>
      </c>
      <c r="I74" s="2" t="s">
        <v>298</v>
      </c>
    </row>
    <row r="75" spans="1:9" x14ac:dyDescent="0.3">
      <c r="A75" s="1" t="s">
        <v>299</v>
      </c>
      <c r="B75" s="2" t="s">
        <v>15</v>
      </c>
      <c r="C75" s="2" t="s">
        <v>139</v>
      </c>
      <c r="D75" s="2" t="s">
        <v>12</v>
      </c>
      <c r="E75" s="2" t="s">
        <v>12</v>
      </c>
      <c r="F75" s="2" t="s">
        <v>300</v>
      </c>
      <c r="G75" s="2" t="s">
        <v>12</v>
      </c>
      <c r="H75" s="2" t="s">
        <v>12</v>
      </c>
      <c r="I75" s="2" t="s">
        <v>301</v>
      </c>
    </row>
    <row r="76" spans="1:9" x14ac:dyDescent="0.3">
      <c r="A76" s="1" t="s">
        <v>302</v>
      </c>
      <c r="B76" s="2" t="s">
        <v>38</v>
      </c>
      <c r="C76" s="2" t="s">
        <v>39</v>
      </c>
      <c r="D76" s="2" t="s">
        <v>12</v>
      </c>
      <c r="E76" s="2" t="s">
        <v>12</v>
      </c>
      <c r="F76" s="2" t="s">
        <v>12</v>
      </c>
      <c r="G76" s="2" t="s">
        <v>12</v>
      </c>
      <c r="H76" s="2" t="s">
        <v>303</v>
      </c>
      <c r="I76" s="2" t="s">
        <v>304</v>
      </c>
    </row>
    <row r="77" spans="1:9" x14ac:dyDescent="0.3">
      <c r="A77" s="1" t="s">
        <v>305</v>
      </c>
      <c r="B77" s="2" t="s">
        <v>306</v>
      </c>
      <c r="C77" s="2" t="s">
        <v>307</v>
      </c>
      <c r="D77" s="2" t="s">
        <v>70</v>
      </c>
      <c r="E77" s="2" t="s">
        <v>12</v>
      </c>
      <c r="F77" s="2" t="s">
        <v>12</v>
      </c>
      <c r="G77" s="2" t="s">
        <v>12</v>
      </c>
      <c r="H77" s="2" t="s">
        <v>12</v>
      </c>
      <c r="I77" s="2" t="s">
        <v>308</v>
      </c>
    </row>
    <row r="78" spans="1:9" x14ac:dyDescent="0.3">
      <c r="A78" s="1" t="s">
        <v>309</v>
      </c>
      <c r="B78" s="2" t="s">
        <v>310</v>
      </c>
      <c r="C78" s="2" t="s">
        <v>311</v>
      </c>
      <c r="D78" s="2" t="s">
        <v>12</v>
      </c>
      <c r="E78" s="2" t="s">
        <v>12</v>
      </c>
      <c r="F78" s="2" t="s">
        <v>312</v>
      </c>
      <c r="G78" s="2" t="s">
        <v>12</v>
      </c>
      <c r="H78" s="2" t="s">
        <v>313</v>
      </c>
      <c r="I78" s="2" t="s">
        <v>314</v>
      </c>
    </row>
    <row r="79" spans="1:9" x14ac:dyDescent="0.3">
      <c r="A79" s="1" t="s">
        <v>315</v>
      </c>
      <c r="B79" s="2" t="s">
        <v>38</v>
      </c>
      <c r="C79" s="2" t="s">
        <v>316</v>
      </c>
      <c r="D79" s="2" t="s">
        <v>317</v>
      </c>
      <c r="E79" s="2" t="s">
        <v>12</v>
      </c>
      <c r="F79" s="2" t="s">
        <v>318</v>
      </c>
      <c r="G79" s="2" t="s">
        <v>12</v>
      </c>
      <c r="H79" s="2" t="s">
        <v>12</v>
      </c>
      <c r="I79" s="2" t="s">
        <v>319</v>
      </c>
    </row>
    <row r="80" spans="1:9" x14ac:dyDescent="0.3">
      <c r="A80" s="1" t="s">
        <v>320</v>
      </c>
      <c r="B80" s="2" t="s">
        <v>113</v>
      </c>
      <c r="C80" s="2" t="s">
        <v>321</v>
      </c>
      <c r="D80" s="2" t="s">
        <v>12</v>
      </c>
      <c r="E80" s="2" t="s">
        <v>12</v>
      </c>
      <c r="F80" s="2" t="s">
        <v>12</v>
      </c>
      <c r="G80" s="2" t="s">
        <v>12</v>
      </c>
      <c r="H80" s="2" t="s">
        <v>12</v>
      </c>
      <c r="I80" s="2" t="s">
        <v>322</v>
      </c>
    </row>
    <row r="81" spans="1:9" x14ac:dyDescent="0.3">
      <c r="A81" s="1" t="s">
        <v>323</v>
      </c>
      <c r="B81" s="2" t="s">
        <v>324</v>
      </c>
      <c r="C81" s="2" t="s">
        <v>325</v>
      </c>
      <c r="D81" s="2" t="s">
        <v>326</v>
      </c>
      <c r="E81" s="2" t="s">
        <v>12</v>
      </c>
      <c r="F81" s="2" t="s">
        <v>12</v>
      </c>
      <c r="G81" s="2" t="s">
        <v>12</v>
      </c>
      <c r="H81" s="2" t="s">
        <v>12</v>
      </c>
      <c r="I81" s="2" t="s">
        <v>327</v>
      </c>
    </row>
    <row r="82" spans="1:9" x14ac:dyDescent="0.3">
      <c r="A82" s="1" t="s">
        <v>328</v>
      </c>
      <c r="B82" s="2" t="s">
        <v>329</v>
      </c>
      <c r="C82" s="2" t="s">
        <v>330</v>
      </c>
      <c r="D82" s="2" t="s">
        <v>12</v>
      </c>
      <c r="E82" s="2" t="s">
        <v>12</v>
      </c>
      <c r="F82" s="2" t="s">
        <v>331</v>
      </c>
      <c r="G82" s="2" t="s">
        <v>12</v>
      </c>
      <c r="H82" s="2" t="s">
        <v>12</v>
      </c>
      <c r="I82" s="2" t="s">
        <v>332</v>
      </c>
    </row>
    <row r="83" spans="1:9" x14ac:dyDescent="0.3">
      <c r="A83" s="1" t="s">
        <v>333</v>
      </c>
      <c r="B83" s="2" t="s">
        <v>334</v>
      </c>
      <c r="C83" s="2" t="s">
        <v>335</v>
      </c>
      <c r="D83" s="2" t="s">
        <v>12</v>
      </c>
      <c r="E83" s="2" t="s">
        <v>12</v>
      </c>
      <c r="F83" s="2" t="s">
        <v>12</v>
      </c>
      <c r="G83" s="2" t="s">
        <v>12</v>
      </c>
      <c r="H83" s="2" t="s">
        <v>12</v>
      </c>
      <c r="I83" s="2" t="s">
        <v>336</v>
      </c>
    </row>
    <row r="84" spans="1:9" x14ac:dyDescent="0.3">
      <c r="A84" s="1" t="s">
        <v>337</v>
      </c>
      <c r="B84" s="2" t="s">
        <v>12</v>
      </c>
      <c r="C84" s="2" t="s">
        <v>139</v>
      </c>
      <c r="D84" s="2" t="s">
        <v>12</v>
      </c>
      <c r="E84" s="2" t="s">
        <v>12</v>
      </c>
      <c r="F84" s="2" t="s">
        <v>12</v>
      </c>
      <c r="G84" s="2" t="s">
        <v>12</v>
      </c>
      <c r="H84" s="2" t="s">
        <v>12</v>
      </c>
      <c r="I84" s="2" t="s">
        <v>338</v>
      </c>
    </row>
    <row r="85" spans="1:9" x14ac:dyDescent="0.3">
      <c r="A85" s="1" t="s">
        <v>339</v>
      </c>
      <c r="B85" s="2" t="s">
        <v>340</v>
      </c>
      <c r="C85" s="2" t="s">
        <v>147</v>
      </c>
      <c r="D85" s="2" t="s">
        <v>12</v>
      </c>
      <c r="E85" s="2" t="s">
        <v>12</v>
      </c>
      <c r="F85" s="2" t="s">
        <v>12</v>
      </c>
      <c r="G85" s="2" t="s">
        <v>12</v>
      </c>
      <c r="H85" s="2" t="s">
        <v>12</v>
      </c>
      <c r="I85" s="2" t="s">
        <v>341</v>
      </c>
    </row>
    <row r="86" spans="1:9" x14ac:dyDescent="0.3">
      <c r="A86" s="1" t="s">
        <v>342</v>
      </c>
      <c r="B86" s="2" t="s">
        <v>15</v>
      </c>
      <c r="C86" s="2" t="s">
        <v>343</v>
      </c>
      <c r="D86" s="2" t="s">
        <v>12</v>
      </c>
      <c r="E86" s="2" t="s">
        <v>12</v>
      </c>
      <c r="F86" s="2" t="s">
        <v>12</v>
      </c>
      <c r="G86" s="2" t="s">
        <v>12</v>
      </c>
      <c r="H86" s="2" t="s">
        <v>12</v>
      </c>
      <c r="I86" s="2" t="s">
        <v>344</v>
      </c>
    </row>
    <row r="87" spans="1:9" x14ac:dyDescent="0.3">
      <c r="A87" s="1" t="s">
        <v>345</v>
      </c>
      <c r="B87" s="2" t="s">
        <v>346</v>
      </c>
      <c r="C87" s="2" t="s">
        <v>347</v>
      </c>
      <c r="D87" s="2" t="s">
        <v>12</v>
      </c>
      <c r="E87" s="2" t="s">
        <v>12</v>
      </c>
      <c r="F87" s="2" t="s">
        <v>12</v>
      </c>
      <c r="G87" s="2" t="s">
        <v>12</v>
      </c>
      <c r="H87" s="2" t="s">
        <v>348</v>
      </c>
      <c r="I87" s="2" t="s">
        <v>349</v>
      </c>
    </row>
    <row r="88" spans="1:9" x14ac:dyDescent="0.3">
      <c r="A88" s="1" t="s">
        <v>350</v>
      </c>
      <c r="B88" s="2" t="s">
        <v>351</v>
      </c>
      <c r="C88" s="2" t="s">
        <v>290</v>
      </c>
      <c r="D88" s="2" t="s">
        <v>12</v>
      </c>
      <c r="E88" s="2" t="s">
        <v>12</v>
      </c>
      <c r="F88" s="2" t="s">
        <v>12</v>
      </c>
      <c r="G88" s="2" t="s">
        <v>12</v>
      </c>
      <c r="H88" s="2" t="s">
        <v>352</v>
      </c>
      <c r="I88" s="2" t="s">
        <v>353</v>
      </c>
    </row>
    <row r="89" spans="1:9" x14ac:dyDescent="0.3">
      <c r="A89" s="1" t="s">
        <v>354</v>
      </c>
      <c r="B89" s="2" t="s">
        <v>355</v>
      </c>
      <c r="C89" s="2" t="s">
        <v>356</v>
      </c>
      <c r="D89" s="2" t="s">
        <v>12</v>
      </c>
      <c r="E89" s="2" t="s">
        <v>357</v>
      </c>
      <c r="F89" s="2" t="s">
        <v>12</v>
      </c>
      <c r="G89" s="2" t="s">
        <v>12</v>
      </c>
      <c r="H89" s="2" t="s">
        <v>358</v>
      </c>
      <c r="I89" s="2" t="s">
        <v>359</v>
      </c>
    </row>
    <row r="90" spans="1:9" x14ac:dyDescent="0.3">
      <c r="A90" s="1" t="s">
        <v>360</v>
      </c>
      <c r="B90" s="2" t="s">
        <v>361</v>
      </c>
      <c r="C90" s="2" t="s">
        <v>362</v>
      </c>
      <c r="D90" s="2" t="s">
        <v>12</v>
      </c>
      <c r="E90" s="2" t="s">
        <v>363</v>
      </c>
      <c r="F90" s="2" t="s">
        <v>364</v>
      </c>
      <c r="G90" s="2" t="s">
        <v>12</v>
      </c>
      <c r="H90" s="2" t="s">
        <v>365</v>
      </c>
      <c r="I90" s="2" t="s">
        <v>366</v>
      </c>
    </row>
    <row r="91" spans="1:9" x14ac:dyDescent="0.3">
      <c r="A91" s="1" t="s">
        <v>367</v>
      </c>
      <c r="B91" s="2" t="s">
        <v>368</v>
      </c>
      <c r="C91" s="2" t="s">
        <v>126</v>
      </c>
      <c r="D91" s="2" t="s">
        <v>12</v>
      </c>
      <c r="E91" s="2" t="s">
        <v>12</v>
      </c>
      <c r="F91" s="2" t="s">
        <v>12</v>
      </c>
      <c r="G91" s="2" t="s">
        <v>12</v>
      </c>
      <c r="H91" s="2" t="s">
        <v>369</v>
      </c>
      <c r="I91" s="2" t="s">
        <v>370</v>
      </c>
    </row>
    <row r="92" spans="1:9" x14ac:dyDescent="0.3">
      <c r="A92" s="1" t="s">
        <v>371</v>
      </c>
      <c r="B92" s="2" t="s">
        <v>38</v>
      </c>
      <c r="C92" s="2" t="s">
        <v>52</v>
      </c>
      <c r="D92" s="2" t="s">
        <v>12</v>
      </c>
      <c r="E92" s="2" t="s">
        <v>372</v>
      </c>
      <c r="F92" s="2" t="s">
        <v>12</v>
      </c>
      <c r="G92" s="2" t="s">
        <v>12</v>
      </c>
      <c r="H92" s="2" t="s">
        <v>12</v>
      </c>
      <c r="I92" s="2" t="s">
        <v>373</v>
      </c>
    </row>
    <row r="93" spans="1:9" x14ac:dyDescent="0.3">
      <c r="A93" s="1" t="s">
        <v>374</v>
      </c>
      <c r="B93" s="2" t="s">
        <v>12</v>
      </c>
      <c r="C93" s="2" t="s">
        <v>375</v>
      </c>
      <c r="D93" s="2" t="s">
        <v>12</v>
      </c>
      <c r="E93" s="2" t="s">
        <v>12</v>
      </c>
      <c r="F93" s="2" t="s">
        <v>376</v>
      </c>
      <c r="G93" s="2" t="s">
        <v>377</v>
      </c>
      <c r="H93" s="2" t="s">
        <v>12</v>
      </c>
      <c r="I93" s="2" t="s">
        <v>378</v>
      </c>
    </row>
    <row r="94" spans="1:9" x14ac:dyDescent="0.3">
      <c r="A94" s="1" t="s">
        <v>379</v>
      </c>
      <c r="B94" s="2" t="s">
        <v>380</v>
      </c>
      <c r="C94" s="2" t="s">
        <v>271</v>
      </c>
      <c r="D94" s="2" t="s">
        <v>12</v>
      </c>
      <c r="E94" s="2" t="s">
        <v>12</v>
      </c>
      <c r="F94" s="2" t="s">
        <v>12</v>
      </c>
      <c r="G94" s="2" t="s">
        <v>12</v>
      </c>
      <c r="H94" s="2" t="s">
        <v>12</v>
      </c>
      <c r="I94" s="2" t="s">
        <v>207</v>
      </c>
    </row>
    <row r="95" spans="1:9" x14ac:dyDescent="0.3">
      <c r="A95" s="1" t="s">
        <v>381</v>
      </c>
      <c r="B95" s="2" t="s">
        <v>351</v>
      </c>
      <c r="C95" s="2" t="s">
        <v>382</v>
      </c>
      <c r="D95" s="2" t="s">
        <v>12</v>
      </c>
      <c r="E95" s="2" t="s">
        <v>12</v>
      </c>
      <c r="F95" s="2" t="s">
        <v>383</v>
      </c>
      <c r="G95" s="2" t="s">
        <v>12</v>
      </c>
      <c r="H95" s="2" t="s">
        <v>384</v>
      </c>
      <c r="I95" s="2" t="s">
        <v>385</v>
      </c>
    </row>
    <row r="96" spans="1:9" x14ac:dyDescent="0.3">
      <c r="A96" s="1" t="s">
        <v>386</v>
      </c>
      <c r="B96" s="2" t="s">
        <v>24</v>
      </c>
      <c r="C96" s="2" t="s">
        <v>387</v>
      </c>
      <c r="D96" s="2" t="s">
        <v>12</v>
      </c>
      <c r="E96" s="2" t="s">
        <v>12</v>
      </c>
      <c r="F96" s="2" t="s">
        <v>388</v>
      </c>
      <c r="G96" s="2" t="s">
        <v>12</v>
      </c>
      <c r="H96" s="2" t="s">
        <v>389</v>
      </c>
      <c r="I96" s="2" t="s">
        <v>390</v>
      </c>
    </row>
    <row r="97" spans="1:9" x14ac:dyDescent="0.3">
      <c r="A97" s="1" t="s">
        <v>391</v>
      </c>
      <c r="B97" s="2" t="s">
        <v>392</v>
      </c>
      <c r="C97" s="2" t="s">
        <v>393</v>
      </c>
      <c r="D97" s="2" t="s">
        <v>12</v>
      </c>
      <c r="E97" s="2" t="s">
        <v>12</v>
      </c>
      <c r="F97" s="2" t="s">
        <v>12</v>
      </c>
      <c r="G97" s="2" t="s">
        <v>394</v>
      </c>
      <c r="H97" s="2" t="s">
        <v>12</v>
      </c>
      <c r="I97" s="2" t="s">
        <v>395</v>
      </c>
    </row>
    <row r="98" spans="1:9" x14ac:dyDescent="0.3">
      <c r="A98" s="1" t="s">
        <v>396</v>
      </c>
      <c r="B98" s="2" t="s">
        <v>202</v>
      </c>
      <c r="C98" s="2" t="s">
        <v>397</v>
      </c>
      <c r="D98" s="2" t="s">
        <v>12</v>
      </c>
      <c r="E98" s="2" t="s">
        <v>12</v>
      </c>
      <c r="F98" s="2" t="s">
        <v>12</v>
      </c>
      <c r="G98" s="2" t="s">
        <v>12</v>
      </c>
      <c r="H98" s="2" t="s">
        <v>398</v>
      </c>
      <c r="I98" s="2" t="s">
        <v>399</v>
      </c>
    </row>
    <row r="99" spans="1:9" x14ac:dyDescent="0.3">
      <c r="A99" s="1" t="s">
        <v>400</v>
      </c>
      <c r="B99" s="2" t="s">
        <v>401</v>
      </c>
      <c r="C99" s="2" t="s">
        <v>402</v>
      </c>
      <c r="D99" s="2" t="s">
        <v>12</v>
      </c>
      <c r="E99" s="2" t="s">
        <v>403</v>
      </c>
      <c r="F99" s="2" t="s">
        <v>12</v>
      </c>
      <c r="G99" s="2" t="s">
        <v>12</v>
      </c>
      <c r="H99" s="2" t="s">
        <v>12</v>
      </c>
      <c r="I99" s="2" t="s">
        <v>404</v>
      </c>
    </row>
    <row r="100" spans="1:9" x14ac:dyDescent="0.3">
      <c r="A100" s="1" t="s">
        <v>405</v>
      </c>
      <c r="B100" s="2" t="s">
        <v>232</v>
      </c>
      <c r="C100" s="2" t="s">
        <v>240</v>
      </c>
      <c r="D100" s="2" t="s">
        <v>12</v>
      </c>
      <c r="E100" s="2" t="s">
        <v>12</v>
      </c>
      <c r="F100" s="2" t="s">
        <v>12</v>
      </c>
      <c r="G100" s="2" t="s">
        <v>12</v>
      </c>
      <c r="H100" s="2" t="s">
        <v>12</v>
      </c>
      <c r="I100" s="2" t="s">
        <v>406</v>
      </c>
    </row>
    <row r="101" spans="1:9" x14ac:dyDescent="0.3">
      <c r="A101" s="1" t="s">
        <v>407</v>
      </c>
      <c r="B101" s="2" t="s">
        <v>408</v>
      </c>
      <c r="C101" s="2" t="s">
        <v>409</v>
      </c>
      <c r="D101" s="2" t="s">
        <v>12</v>
      </c>
      <c r="E101" s="2" t="s">
        <v>12</v>
      </c>
      <c r="F101" s="2" t="s">
        <v>12</v>
      </c>
      <c r="G101" s="2" t="s">
        <v>12</v>
      </c>
      <c r="H101" s="2" t="s">
        <v>12</v>
      </c>
      <c r="I101" s="2" t="s">
        <v>207</v>
      </c>
    </row>
    <row r="102" spans="1:9" x14ac:dyDescent="0.3">
      <c r="A102" s="1" t="s">
        <v>410</v>
      </c>
      <c r="B102" s="2" t="s">
        <v>411</v>
      </c>
      <c r="C102" s="2" t="s">
        <v>412</v>
      </c>
      <c r="D102" s="2" t="s">
        <v>12</v>
      </c>
      <c r="E102" s="2" t="s">
        <v>413</v>
      </c>
      <c r="F102" s="2" t="s">
        <v>12</v>
      </c>
      <c r="G102" s="2" t="s">
        <v>12</v>
      </c>
      <c r="H102" s="2" t="s">
        <v>414</v>
      </c>
      <c r="I102" s="2" t="s">
        <v>41</v>
      </c>
    </row>
    <row r="103" spans="1:9" x14ac:dyDescent="0.3">
      <c r="A103" s="1" t="s">
        <v>415</v>
      </c>
      <c r="B103" s="2" t="s">
        <v>125</v>
      </c>
      <c r="C103" s="2" t="s">
        <v>393</v>
      </c>
      <c r="D103" s="2" t="s">
        <v>12</v>
      </c>
      <c r="E103" s="2" t="s">
        <v>12</v>
      </c>
      <c r="F103" s="2" t="s">
        <v>12</v>
      </c>
      <c r="G103" s="2" t="s">
        <v>12</v>
      </c>
      <c r="H103" s="2" t="s">
        <v>416</v>
      </c>
      <c r="I103" s="2" t="s">
        <v>417</v>
      </c>
    </row>
    <row r="104" spans="1:9" x14ac:dyDescent="0.3">
      <c r="A104" s="1" t="s">
        <v>418</v>
      </c>
      <c r="B104" s="2" t="s">
        <v>419</v>
      </c>
      <c r="C104" s="2" t="s">
        <v>420</v>
      </c>
      <c r="D104" s="2" t="s">
        <v>12</v>
      </c>
      <c r="E104" s="2" t="s">
        <v>12</v>
      </c>
      <c r="F104" s="2" t="s">
        <v>12</v>
      </c>
      <c r="G104" s="2" t="s">
        <v>12</v>
      </c>
      <c r="H104" s="2" t="s">
        <v>421</v>
      </c>
      <c r="I104" s="2" t="s">
        <v>422</v>
      </c>
    </row>
    <row r="105" spans="1:9" x14ac:dyDescent="0.3">
      <c r="A105" s="1" t="s">
        <v>423</v>
      </c>
      <c r="B105" s="2" t="s">
        <v>424</v>
      </c>
      <c r="C105" s="2" t="s">
        <v>109</v>
      </c>
      <c r="D105" s="2" t="s">
        <v>425</v>
      </c>
      <c r="E105" s="2" t="s">
        <v>12</v>
      </c>
      <c r="F105" s="2" t="s">
        <v>426</v>
      </c>
      <c r="G105" s="2" t="s">
        <v>12</v>
      </c>
      <c r="H105" s="2" t="s">
        <v>427</v>
      </c>
      <c r="I105" s="2" t="s">
        <v>428</v>
      </c>
    </row>
    <row r="106" spans="1:9" x14ac:dyDescent="0.3">
      <c r="A106" s="1" t="s">
        <v>429</v>
      </c>
      <c r="B106" s="2" t="s">
        <v>430</v>
      </c>
      <c r="C106" s="2" t="s">
        <v>431</v>
      </c>
      <c r="D106" s="2" t="s">
        <v>12</v>
      </c>
      <c r="E106" s="2" t="s">
        <v>12</v>
      </c>
      <c r="F106" s="2" t="s">
        <v>12</v>
      </c>
      <c r="G106" s="2" t="s">
        <v>12</v>
      </c>
      <c r="H106" s="2" t="s">
        <v>12</v>
      </c>
      <c r="I106" s="2" t="s">
        <v>432</v>
      </c>
    </row>
    <row r="107" spans="1:9" x14ac:dyDescent="0.3">
      <c r="A107" s="1" t="s">
        <v>433</v>
      </c>
      <c r="B107" s="2" t="s">
        <v>225</v>
      </c>
      <c r="C107" s="2" t="s">
        <v>434</v>
      </c>
      <c r="D107" s="2" t="s">
        <v>12</v>
      </c>
      <c r="E107" s="2" t="s">
        <v>12</v>
      </c>
      <c r="F107" s="2" t="s">
        <v>12</v>
      </c>
      <c r="G107" s="2" t="s">
        <v>12</v>
      </c>
      <c r="H107" s="2" t="s">
        <v>435</v>
      </c>
      <c r="I107" s="2" t="s">
        <v>436</v>
      </c>
    </row>
    <row r="108" spans="1:9" x14ac:dyDescent="0.3">
      <c r="A108" s="1" t="s">
        <v>437</v>
      </c>
      <c r="B108" s="2" t="s">
        <v>174</v>
      </c>
      <c r="C108" s="2" t="s">
        <v>151</v>
      </c>
      <c r="D108" s="2" t="s">
        <v>438</v>
      </c>
      <c r="E108" s="2" t="s">
        <v>12</v>
      </c>
      <c r="F108" s="2" t="s">
        <v>12</v>
      </c>
      <c r="G108" s="2" t="s">
        <v>12</v>
      </c>
      <c r="H108" s="2" t="s">
        <v>12</v>
      </c>
      <c r="I108" s="2" t="s">
        <v>439</v>
      </c>
    </row>
    <row r="109" spans="1:9" x14ac:dyDescent="0.3">
      <c r="A109" s="1" t="s">
        <v>440</v>
      </c>
      <c r="B109" s="2" t="s">
        <v>441</v>
      </c>
      <c r="C109" s="2" t="s">
        <v>442</v>
      </c>
      <c r="D109" s="2" t="s">
        <v>12</v>
      </c>
      <c r="E109" s="2" t="s">
        <v>12</v>
      </c>
      <c r="F109" s="2" t="s">
        <v>12</v>
      </c>
      <c r="G109" s="2" t="s">
        <v>12</v>
      </c>
      <c r="H109" s="2" t="s">
        <v>12</v>
      </c>
      <c r="I109" s="2" t="s">
        <v>443</v>
      </c>
    </row>
    <row r="110" spans="1:9" x14ac:dyDescent="0.3">
      <c r="A110" s="1" t="s">
        <v>444</v>
      </c>
      <c r="B110" s="2" t="s">
        <v>82</v>
      </c>
      <c r="C110" s="2" t="s">
        <v>126</v>
      </c>
      <c r="D110" s="2" t="s">
        <v>12</v>
      </c>
      <c r="E110" s="2" t="s">
        <v>12</v>
      </c>
      <c r="F110" s="2" t="s">
        <v>12</v>
      </c>
      <c r="G110" s="2" t="s">
        <v>12</v>
      </c>
      <c r="H110" s="2" t="s">
        <v>12</v>
      </c>
      <c r="I110" s="2" t="s">
        <v>445</v>
      </c>
    </row>
    <row r="111" spans="1:9" x14ac:dyDescent="0.3">
      <c r="A111" s="1" t="s">
        <v>446</v>
      </c>
      <c r="B111" s="2" t="s">
        <v>447</v>
      </c>
      <c r="C111" s="2" t="s">
        <v>448</v>
      </c>
      <c r="D111" s="2" t="s">
        <v>12</v>
      </c>
      <c r="E111" s="2" t="s">
        <v>12</v>
      </c>
      <c r="F111" s="2" t="s">
        <v>12</v>
      </c>
      <c r="G111" s="2" t="s">
        <v>12</v>
      </c>
      <c r="H111" s="2" t="s">
        <v>12</v>
      </c>
      <c r="I111" s="2" t="s">
        <v>449</v>
      </c>
    </row>
    <row r="112" spans="1:9" x14ac:dyDescent="0.3">
      <c r="A112" s="1" t="s">
        <v>450</v>
      </c>
      <c r="B112" s="2" t="s">
        <v>19</v>
      </c>
      <c r="C112" s="2" t="s">
        <v>451</v>
      </c>
      <c r="D112" s="2" t="s">
        <v>12</v>
      </c>
      <c r="E112" s="2" t="s">
        <v>12</v>
      </c>
      <c r="F112" s="2" t="s">
        <v>12</v>
      </c>
      <c r="G112" s="2" t="s">
        <v>12</v>
      </c>
      <c r="H112" s="2" t="s">
        <v>452</v>
      </c>
      <c r="I112" s="2" t="s">
        <v>453</v>
      </c>
    </row>
    <row r="113" spans="1:9" x14ac:dyDescent="0.3">
      <c r="A113" s="1" t="s">
        <v>454</v>
      </c>
      <c r="B113" s="2" t="s">
        <v>455</v>
      </c>
      <c r="C113" s="2" t="s">
        <v>29</v>
      </c>
      <c r="D113" s="2" t="s">
        <v>12</v>
      </c>
      <c r="E113" s="2" t="s">
        <v>12</v>
      </c>
      <c r="F113" s="2" t="s">
        <v>12</v>
      </c>
      <c r="G113" s="2" t="s">
        <v>12</v>
      </c>
      <c r="H113" s="2" t="s">
        <v>12</v>
      </c>
      <c r="I113" s="2" t="s">
        <v>456</v>
      </c>
    </row>
    <row r="114" spans="1:9" x14ac:dyDescent="0.3">
      <c r="A114" s="1" t="s">
        <v>457</v>
      </c>
      <c r="B114" s="2" t="s">
        <v>458</v>
      </c>
      <c r="C114" s="2" t="s">
        <v>459</v>
      </c>
      <c r="D114" s="2" t="s">
        <v>12</v>
      </c>
      <c r="E114" s="2" t="s">
        <v>12</v>
      </c>
      <c r="F114" s="2" t="s">
        <v>12</v>
      </c>
      <c r="G114" s="2" t="s">
        <v>12</v>
      </c>
      <c r="H114" s="2" t="s">
        <v>12</v>
      </c>
      <c r="I114" s="2" t="s">
        <v>460</v>
      </c>
    </row>
    <row r="115" spans="1:9" x14ac:dyDescent="0.3">
      <c r="A115" s="1" t="s">
        <v>461</v>
      </c>
      <c r="B115" s="2" t="s">
        <v>361</v>
      </c>
      <c r="C115" s="2" t="s">
        <v>264</v>
      </c>
      <c r="D115" s="2" t="s">
        <v>12</v>
      </c>
      <c r="E115" s="2" t="s">
        <v>12</v>
      </c>
      <c r="F115" s="2" t="s">
        <v>12</v>
      </c>
      <c r="G115" s="2" t="s">
        <v>376</v>
      </c>
      <c r="H115" s="2" t="s">
        <v>462</v>
      </c>
      <c r="I115" s="2" t="s">
        <v>463</v>
      </c>
    </row>
    <row r="116" spans="1:9" x14ac:dyDescent="0.3">
      <c r="A116" s="1" t="s">
        <v>464</v>
      </c>
      <c r="B116" s="2" t="s">
        <v>202</v>
      </c>
      <c r="C116" s="2" t="s">
        <v>271</v>
      </c>
      <c r="D116" s="2" t="s">
        <v>12</v>
      </c>
      <c r="E116" s="2" t="s">
        <v>12</v>
      </c>
      <c r="F116" s="2" t="s">
        <v>12</v>
      </c>
      <c r="G116" s="2" t="s">
        <v>12</v>
      </c>
      <c r="H116" s="2" t="s">
        <v>12</v>
      </c>
      <c r="I116" s="2" t="s">
        <v>465</v>
      </c>
    </row>
    <row r="117" spans="1:9" x14ac:dyDescent="0.3">
      <c r="A117" s="1" t="s">
        <v>466</v>
      </c>
      <c r="B117" s="2" t="s">
        <v>467</v>
      </c>
      <c r="C117" s="2" t="s">
        <v>338</v>
      </c>
      <c r="D117" s="2" t="s">
        <v>12</v>
      </c>
      <c r="E117" s="2" t="s">
        <v>12</v>
      </c>
      <c r="F117" s="2" t="s">
        <v>12</v>
      </c>
      <c r="G117" s="2" t="s">
        <v>12</v>
      </c>
      <c r="H117" s="2" t="s">
        <v>12</v>
      </c>
      <c r="I117" s="2" t="s">
        <v>26</v>
      </c>
    </row>
    <row r="118" spans="1:9" x14ac:dyDescent="0.3">
      <c r="A118" s="1" t="s">
        <v>468</v>
      </c>
      <c r="B118" s="2" t="s">
        <v>469</v>
      </c>
      <c r="C118" s="2" t="s">
        <v>470</v>
      </c>
      <c r="D118" s="2" t="s">
        <v>12</v>
      </c>
      <c r="E118" s="2" t="s">
        <v>12</v>
      </c>
      <c r="F118" s="2" t="s">
        <v>12</v>
      </c>
      <c r="G118" s="2" t="s">
        <v>12</v>
      </c>
      <c r="H118" s="2" t="s">
        <v>12</v>
      </c>
      <c r="I118" s="2" t="s">
        <v>471</v>
      </c>
    </row>
    <row r="119" spans="1:9" x14ac:dyDescent="0.3">
      <c r="A119" s="1" t="s">
        <v>472</v>
      </c>
      <c r="B119" s="2" t="s">
        <v>473</v>
      </c>
      <c r="C119" s="2" t="s">
        <v>271</v>
      </c>
      <c r="D119" s="2" t="s">
        <v>12</v>
      </c>
      <c r="E119" s="2" t="s">
        <v>12</v>
      </c>
      <c r="F119" s="2" t="s">
        <v>12</v>
      </c>
      <c r="G119" s="2" t="s">
        <v>12</v>
      </c>
      <c r="H119" s="2" t="s">
        <v>474</v>
      </c>
      <c r="I119" s="2" t="s">
        <v>475</v>
      </c>
    </row>
    <row r="120" spans="1:9" x14ac:dyDescent="0.3">
      <c r="A120" s="1" t="s">
        <v>476</v>
      </c>
      <c r="B120" s="2" t="s">
        <v>477</v>
      </c>
      <c r="C120" s="2" t="s">
        <v>478</v>
      </c>
      <c r="D120" s="2" t="s">
        <v>12</v>
      </c>
      <c r="E120" s="2" t="s">
        <v>12</v>
      </c>
      <c r="F120" s="2" t="s">
        <v>12</v>
      </c>
      <c r="G120" s="2" t="s">
        <v>12</v>
      </c>
      <c r="H120" s="2" t="s">
        <v>479</v>
      </c>
      <c r="I120" s="2" t="s">
        <v>480</v>
      </c>
    </row>
    <row r="121" spans="1:9" x14ac:dyDescent="0.3">
      <c r="A121" s="1" t="s">
        <v>481</v>
      </c>
      <c r="B121" s="2" t="s">
        <v>482</v>
      </c>
      <c r="C121" s="2" t="s">
        <v>155</v>
      </c>
      <c r="D121" s="2" t="s">
        <v>12</v>
      </c>
      <c r="E121" s="2" t="s">
        <v>12</v>
      </c>
      <c r="F121" s="2" t="s">
        <v>12</v>
      </c>
      <c r="G121" s="2" t="s">
        <v>12</v>
      </c>
      <c r="H121" s="2" t="s">
        <v>12</v>
      </c>
      <c r="I121" s="2" t="s">
        <v>483</v>
      </c>
    </row>
    <row r="122" spans="1:9" x14ac:dyDescent="0.3">
      <c r="A122" s="1" t="s">
        <v>484</v>
      </c>
      <c r="B122" s="2" t="s">
        <v>346</v>
      </c>
      <c r="C122" s="2" t="s">
        <v>485</v>
      </c>
      <c r="D122" s="2" t="s">
        <v>12</v>
      </c>
      <c r="E122" s="2" t="s">
        <v>12</v>
      </c>
      <c r="F122" s="2" t="s">
        <v>486</v>
      </c>
      <c r="G122" s="2" t="s">
        <v>12</v>
      </c>
      <c r="H122" s="2" t="s">
        <v>12</v>
      </c>
      <c r="I122" s="2" t="s">
        <v>487</v>
      </c>
    </row>
    <row r="123" spans="1:9" x14ac:dyDescent="0.3">
      <c r="A123" s="1" t="s">
        <v>488</v>
      </c>
      <c r="B123" s="2" t="s">
        <v>489</v>
      </c>
      <c r="C123" s="2" t="s">
        <v>490</v>
      </c>
      <c r="D123" s="2" t="s">
        <v>491</v>
      </c>
      <c r="E123" s="2" t="s">
        <v>12</v>
      </c>
      <c r="F123" s="2" t="s">
        <v>12</v>
      </c>
      <c r="G123" s="2" t="s">
        <v>12</v>
      </c>
      <c r="H123" s="2" t="s">
        <v>492</v>
      </c>
      <c r="I123" s="2" t="s">
        <v>493</v>
      </c>
    </row>
    <row r="124" spans="1:9" x14ac:dyDescent="0.3">
      <c r="A124" s="1" t="s">
        <v>494</v>
      </c>
      <c r="B124" s="2" t="s">
        <v>489</v>
      </c>
      <c r="C124" s="2" t="s">
        <v>130</v>
      </c>
      <c r="D124" s="2" t="s">
        <v>12</v>
      </c>
      <c r="E124" s="2" t="s">
        <v>12</v>
      </c>
      <c r="F124" s="2" t="s">
        <v>12</v>
      </c>
      <c r="G124" s="2" t="s">
        <v>12</v>
      </c>
      <c r="H124" s="2" t="s">
        <v>12</v>
      </c>
      <c r="I124" s="2" t="s">
        <v>17</v>
      </c>
    </row>
    <row r="125" spans="1:9" x14ac:dyDescent="0.3">
      <c r="A125" s="1" t="s">
        <v>495</v>
      </c>
      <c r="B125" s="2" t="s">
        <v>496</v>
      </c>
      <c r="C125" s="2" t="s">
        <v>78</v>
      </c>
      <c r="D125" s="2" t="s">
        <v>12</v>
      </c>
      <c r="E125" s="2" t="s">
        <v>12</v>
      </c>
      <c r="F125" s="2" t="s">
        <v>12</v>
      </c>
      <c r="G125" s="2" t="s">
        <v>12</v>
      </c>
      <c r="H125" s="2" t="s">
        <v>12</v>
      </c>
      <c r="I125" s="2" t="s">
        <v>497</v>
      </c>
    </row>
    <row r="126" spans="1:9" x14ac:dyDescent="0.3">
      <c r="A126" s="1" t="s">
        <v>498</v>
      </c>
      <c r="B126" s="2" t="s">
        <v>499</v>
      </c>
      <c r="C126" s="2" t="s">
        <v>500</v>
      </c>
      <c r="D126" s="2" t="s">
        <v>12</v>
      </c>
      <c r="E126" s="2" t="s">
        <v>12</v>
      </c>
      <c r="F126" s="2" t="s">
        <v>12</v>
      </c>
      <c r="G126" s="2" t="s">
        <v>12</v>
      </c>
      <c r="H126" s="2" t="s">
        <v>126</v>
      </c>
      <c r="I126" s="2" t="s">
        <v>501</v>
      </c>
    </row>
    <row r="127" spans="1:9" x14ac:dyDescent="0.3">
      <c r="A127" s="1" t="s">
        <v>502</v>
      </c>
      <c r="B127" s="2" t="s">
        <v>503</v>
      </c>
      <c r="C127" s="2" t="s">
        <v>504</v>
      </c>
      <c r="D127" s="2" t="s">
        <v>12</v>
      </c>
      <c r="E127" s="2" t="s">
        <v>12</v>
      </c>
      <c r="F127" s="2" t="s">
        <v>505</v>
      </c>
      <c r="G127" s="2" t="s">
        <v>12</v>
      </c>
      <c r="H127" s="2" t="s">
        <v>12</v>
      </c>
      <c r="I127" s="2" t="s">
        <v>506</v>
      </c>
    </row>
    <row r="128" spans="1:9" x14ac:dyDescent="0.3">
      <c r="A128" s="1" t="s">
        <v>507</v>
      </c>
      <c r="B128" s="2" t="s">
        <v>489</v>
      </c>
      <c r="C128" s="2" t="s">
        <v>508</v>
      </c>
      <c r="D128" s="2" t="s">
        <v>12</v>
      </c>
      <c r="E128" s="2" t="s">
        <v>509</v>
      </c>
      <c r="F128" s="2" t="s">
        <v>12</v>
      </c>
      <c r="G128" s="2" t="s">
        <v>12</v>
      </c>
      <c r="H128" s="2" t="s">
        <v>12</v>
      </c>
      <c r="I128" s="2" t="s">
        <v>510</v>
      </c>
    </row>
    <row r="129" spans="1:9" x14ac:dyDescent="0.3">
      <c r="A129" s="1" t="s">
        <v>511</v>
      </c>
      <c r="B129" s="2" t="s">
        <v>162</v>
      </c>
      <c r="C129" s="2" t="s">
        <v>512</v>
      </c>
      <c r="D129" s="2" t="s">
        <v>12</v>
      </c>
      <c r="E129" s="2" t="s">
        <v>12</v>
      </c>
      <c r="F129" s="2" t="s">
        <v>12</v>
      </c>
      <c r="G129" s="2" t="s">
        <v>513</v>
      </c>
      <c r="H129" s="2" t="s">
        <v>12</v>
      </c>
      <c r="I129" s="2" t="s">
        <v>514</v>
      </c>
    </row>
    <row r="130" spans="1:9" x14ac:dyDescent="0.3">
      <c r="A130" s="1" t="s">
        <v>515</v>
      </c>
      <c r="B130" s="2" t="s">
        <v>118</v>
      </c>
      <c r="C130" s="2" t="s">
        <v>516</v>
      </c>
      <c r="D130" s="2" t="s">
        <v>12</v>
      </c>
      <c r="E130" s="2" t="s">
        <v>517</v>
      </c>
      <c r="F130" s="2" t="s">
        <v>518</v>
      </c>
      <c r="G130" s="2" t="s">
        <v>12</v>
      </c>
      <c r="H130" s="2" t="s">
        <v>12</v>
      </c>
      <c r="I130" s="2" t="s">
        <v>519</v>
      </c>
    </row>
    <row r="131" spans="1:9" x14ac:dyDescent="0.3">
      <c r="A131" s="1" t="s">
        <v>520</v>
      </c>
      <c r="B131" s="2" t="s">
        <v>19</v>
      </c>
      <c r="C131" s="2" t="s">
        <v>521</v>
      </c>
      <c r="D131" s="2" t="s">
        <v>12</v>
      </c>
      <c r="E131" s="2" t="s">
        <v>12</v>
      </c>
      <c r="F131" s="2" t="s">
        <v>12</v>
      </c>
      <c r="G131" s="2" t="s">
        <v>12</v>
      </c>
      <c r="H131" s="2" t="s">
        <v>12</v>
      </c>
      <c r="I131" s="2" t="s">
        <v>522</v>
      </c>
    </row>
    <row r="132" spans="1:9" x14ac:dyDescent="0.3">
      <c r="A132" s="1" t="s">
        <v>523</v>
      </c>
      <c r="B132" s="2" t="s">
        <v>168</v>
      </c>
      <c r="C132" s="2" t="s">
        <v>512</v>
      </c>
      <c r="D132" s="2" t="s">
        <v>12</v>
      </c>
      <c r="E132" s="2" t="s">
        <v>12</v>
      </c>
      <c r="F132" s="2" t="s">
        <v>12</v>
      </c>
      <c r="G132" s="2" t="s">
        <v>12</v>
      </c>
      <c r="H132" s="2" t="s">
        <v>524</v>
      </c>
      <c r="I132" s="2" t="s">
        <v>525</v>
      </c>
    </row>
    <row r="133" spans="1:9" x14ac:dyDescent="0.3">
      <c r="A133" s="1" t="s">
        <v>526</v>
      </c>
      <c r="B133" s="2" t="s">
        <v>59</v>
      </c>
      <c r="C133" s="2" t="s">
        <v>527</v>
      </c>
      <c r="D133" s="2" t="s">
        <v>12</v>
      </c>
      <c r="E133" s="2" t="s">
        <v>12</v>
      </c>
      <c r="F133" s="2" t="s">
        <v>12</v>
      </c>
      <c r="G133" s="2" t="s">
        <v>12</v>
      </c>
      <c r="H133" s="2" t="s">
        <v>528</v>
      </c>
      <c r="I133" s="2" t="s">
        <v>529</v>
      </c>
    </row>
    <row r="134" spans="1:9" x14ac:dyDescent="0.3">
      <c r="A134" s="1" t="s">
        <v>530</v>
      </c>
      <c r="B134" s="2" t="s">
        <v>531</v>
      </c>
      <c r="C134" s="2" t="s">
        <v>532</v>
      </c>
      <c r="D134" s="2" t="s">
        <v>12</v>
      </c>
      <c r="E134" s="2" t="s">
        <v>12</v>
      </c>
      <c r="F134" s="2" t="s">
        <v>12</v>
      </c>
      <c r="G134" s="2" t="s">
        <v>12</v>
      </c>
      <c r="H134" s="2" t="s">
        <v>12</v>
      </c>
      <c r="I134" s="2" t="s">
        <v>533</v>
      </c>
    </row>
    <row r="135" spans="1:9" x14ac:dyDescent="0.3">
      <c r="A135" s="1" t="s">
        <v>534</v>
      </c>
      <c r="B135" s="2" t="s">
        <v>535</v>
      </c>
      <c r="C135" s="2" t="s">
        <v>536</v>
      </c>
      <c r="D135" s="2" t="s">
        <v>376</v>
      </c>
      <c r="E135" s="2" t="s">
        <v>12</v>
      </c>
      <c r="F135" s="2" t="s">
        <v>12</v>
      </c>
      <c r="G135" s="2" t="s">
        <v>537</v>
      </c>
      <c r="H135" s="2" t="s">
        <v>538</v>
      </c>
      <c r="I135" s="2" t="s">
        <v>539</v>
      </c>
    </row>
    <row r="136" spans="1:9" x14ac:dyDescent="0.3">
      <c r="A136" s="1" t="s">
        <v>540</v>
      </c>
      <c r="B136" s="2" t="s">
        <v>541</v>
      </c>
      <c r="C136" s="2" t="s">
        <v>280</v>
      </c>
      <c r="D136" s="2" t="s">
        <v>542</v>
      </c>
      <c r="E136" s="2" t="s">
        <v>12</v>
      </c>
      <c r="F136" s="2" t="s">
        <v>12</v>
      </c>
      <c r="G136" s="2" t="s">
        <v>12</v>
      </c>
      <c r="H136" s="2" t="s">
        <v>12</v>
      </c>
      <c r="I136" s="2" t="s">
        <v>543</v>
      </c>
    </row>
    <row r="137" spans="1:9" x14ac:dyDescent="0.3">
      <c r="A137" s="1" t="s">
        <v>544</v>
      </c>
      <c r="B137" s="2" t="s">
        <v>545</v>
      </c>
      <c r="C137" s="2" t="s">
        <v>546</v>
      </c>
      <c r="D137" s="2" t="s">
        <v>12</v>
      </c>
      <c r="E137" s="2" t="s">
        <v>547</v>
      </c>
      <c r="F137" s="2" t="s">
        <v>12</v>
      </c>
      <c r="G137" s="2" t="s">
        <v>12</v>
      </c>
      <c r="H137" s="2" t="s">
        <v>12</v>
      </c>
      <c r="I137" s="2" t="s">
        <v>548</v>
      </c>
    </row>
    <row r="138" spans="1:9" x14ac:dyDescent="0.3">
      <c r="A138" s="1" t="s">
        <v>549</v>
      </c>
      <c r="B138" s="2" t="s">
        <v>550</v>
      </c>
      <c r="C138" s="2" t="s">
        <v>551</v>
      </c>
      <c r="D138" s="2" t="s">
        <v>12</v>
      </c>
      <c r="E138" s="2" t="s">
        <v>12</v>
      </c>
      <c r="F138" s="2" t="s">
        <v>12</v>
      </c>
      <c r="G138" s="2" t="s">
        <v>12</v>
      </c>
      <c r="H138" s="2" t="s">
        <v>12</v>
      </c>
      <c r="I138" s="2" t="s">
        <v>552</v>
      </c>
    </row>
    <row r="139" spans="1:9" x14ac:dyDescent="0.3">
      <c r="A139" s="1" t="s">
        <v>553</v>
      </c>
      <c r="B139" s="2" t="s">
        <v>12</v>
      </c>
      <c r="C139" s="2" t="s">
        <v>554</v>
      </c>
      <c r="D139" s="2" t="s">
        <v>12</v>
      </c>
      <c r="E139" s="2" t="s">
        <v>12</v>
      </c>
      <c r="F139" s="2" t="s">
        <v>555</v>
      </c>
      <c r="G139" s="2" t="s">
        <v>12</v>
      </c>
      <c r="H139" s="2" t="s">
        <v>12</v>
      </c>
      <c r="I139" s="2" t="s">
        <v>556</v>
      </c>
    </row>
    <row r="140" spans="1:9" x14ac:dyDescent="0.3">
      <c r="A140" s="1" t="s">
        <v>557</v>
      </c>
      <c r="B140" s="2" t="s">
        <v>232</v>
      </c>
      <c r="C140" s="2" t="s">
        <v>500</v>
      </c>
      <c r="D140" s="2" t="s">
        <v>558</v>
      </c>
      <c r="E140" s="2" t="s">
        <v>12</v>
      </c>
      <c r="F140" s="2" t="s">
        <v>12</v>
      </c>
      <c r="G140" s="2" t="s">
        <v>12</v>
      </c>
      <c r="H140" s="2" t="s">
        <v>12</v>
      </c>
      <c r="I140" s="2" t="s">
        <v>559</v>
      </c>
    </row>
    <row r="141" spans="1:9" x14ac:dyDescent="0.3">
      <c r="A141" s="1" t="s">
        <v>560</v>
      </c>
      <c r="B141" s="2" t="s">
        <v>129</v>
      </c>
      <c r="C141" s="2" t="s">
        <v>211</v>
      </c>
      <c r="D141" s="2" t="s">
        <v>12</v>
      </c>
      <c r="E141" s="2" t="s">
        <v>12</v>
      </c>
      <c r="F141" s="2" t="s">
        <v>12</v>
      </c>
      <c r="G141" s="2" t="s">
        <v>12</v>
      </c>
      <c r="H141" s="2" t="s">
        <v>12</v>
      </c>
      <c r="I141" s="2" t="s">
        <v>561</v>
      </c>
    </row>
    <row r="142" spans="1:9" x14ac:dyDescent="0.3">
      <c r="A142" s="1" t="s">
        <v>562</v>
      </c>
      <c r="B142" s="2" t="s">
        <v>563</v>
      </c>
      <c r="C142" s="2" t="s">
        <v>564</v>
      </c>
      <c r="D142" s="2" t="s">
        <v>12</v>
      </c>
      <c r="E142" s="2" t="s">
        <v>565</v>
      </c>
      <c r="F142" s="2" t="s">
        <v>566</v>
      </c>
      <c r="G142" s="2" t="s">
        <v>12</v>
      </c>
      <c r="H142" s="2" t="s">
        <v>12</v>
      </c>
      <c r="I142" s="2" t="s">
        <v>567</v>
      </c>
    </row>
    <row r="143" spans="1:9" x14ac:dyDescent="0.3">
      <c r="A143" s="1" t="s">
        <v>568</v>
      </c>
      <c r="B143" s="2" t="s">
        <v>569</v>
      </c>
      <c r="C143" s="2" t="s">
        <v>248</v>
      </c>
      <c r="D143" s="2" t="s">
        <v>12</v>
      </c>
      <c r="E143" s="2" t="s">
        <v>12</v>
      </c>
      <c r="F143" s="2" t="s">
        <v>12</v>
      </c>
      <c r="G143" s="2" t="s">
        <v>12</v>
      </c>
      <c r="H143" s="2" t="s">
        <v>12</v>
      </c>
      <c r="I143" s="2" t="s">
        <v>221</v>
      </c>
    </row>
    <row r="144" spans="1:9" x14ac:dyDescent="0.3">
      <c r="A144" s="1" t="s">
        <v>570</v>
      </c>
      <c r="B144" s="2" t="s">
        <v>571</v>
      </c>
      <c r="C144" s="2" t="s">
        <v>572</v>
      </c>
      <c r="D144" s="2" t="s">
        <v>12</v>
      </c>
      <c r="E144" s="2" t="s">
        <v>12</v>
      </c>
      <c r="F144" s="2" t="s">
        <v>12</v>
      </c>
      <c r="G144" s="2" t="s">
        <v>12</v>
      </c>
      <c r="H144" s="2" t="s">
        <v>573</v>
      </c>
      <c r="I144" s="2" t="s">
        <v>574</v>
      </c>
    </row>
    <row r="145" spans="1:9" x14ac:dyDescent="0.3">
      <c r="A145" s="1" t="s">
        <v>575</v>
      </c>
      <c r="B145" s="2" t="s">
        <v>174</v>
      </c>
      <c r="C145" s="2" t="s">
        <v>576</v>
      </c>
      <c r="D145" s="2" t="s">
        <v>12</v>
      </c>
      <c r="E145" s="2" t="s">
        <v>12</v>
      </c>
      <c r="F145" s="2" t="s">
        <v>12</v>
      </c>
      <c r="G145" s="2" t="s">
        <v>12</v>
      </c>
      <c r="H145" s="2" t="s">
        <v>12</v>
      </c>
      <c r="I145" s="2" t="s">
        <v>370</v>
      </c>
    </row>
    <row r="146" spans="1:9" x14ac:dyDescent="0.3">
      <c r="A146" s="1" t="s">
        <v>577</v>
      </c>
      <c r="B146" s="2" t="s">
        <v>108</v>
      </c>
      <c r="C146" s="2" t="s">
        <v>578</v>
      </c>
      <c r="D146" s="2" t="s">
        <v>12</v>
      </c>
      <c r="E146" s="2" t="s">
        <v>12</v>
      </c>
      <c r="F146" s="2" t="s">
        <v>12</v>
      </c>
      <c r="G146" s="2" t="s">
        <v>12</v>
      </c>
      <c r="H146" s="2" t="s">
        <v>12</v>
      </c>
      <c r="I146" s="2" t="s">
        <v>579</v>
      </c>
    </row>
    <row r="147" spans="1:9" x14ac:dyDescent="0.3">
      <c r="A147" s="1" t="s">
        <v>580</v>
      </c>
      <c r="B147" s="2" t="s">
        <v>581</v>
      </c>
      <c r="C147" s="2" t="s">
        <v>582</v>
      </c>
      <c r="D147" s="2" t="s">
        <v>12</v>
      </c>
      <c r="E147" s="2" t="s">
        <v>583</v>
      </c>
      <c r="F147" s="2" t="s">
        <v>12</v>
      </c>
      <c r="G147" s="2" t="s">
        <v>12</v>
      </c>
      <c r="H147" s="2" t="s">
        <v>584</v>
      </c>
      <c r="I147" s="2" t="s">
        <v>585</v>
      </c>
    </row>
    <row r="148" spans="1:9" x14ac:dyDescent="0.3">
      <c r="A148" s="1" t="s">
        <v>586</v>
      </c>
      <c r="B148" s="2" t="s">
        <v>587</v>
      </c>
      <c r="C148" s="2" t="s">
        <v>588</v>
      </c>
      <c r="D148" s="2" t="s">
        <v>12</v>
      </c>
      <c r="E148" s="2" t="s">
        <v>12</v>
      </c>
      <c r="F148" s="2" t="s">
        <v>12</v>
      </c>
      <c r="G148" s="2" t="s">
        <v>12</v>
      </c>
      <c r="H148" s="2" t="s">
        <v>12</v>
      </c>
      <c r="I148" s="2" t="s">
        <v>589</v>
      </c>
    </row>
    <row r="149" spans="1:9" x14ac:dyDescent="0.3">
      <c r="A149" s="1" t="s">
        <v>590</v>
      </c>
      <c r="B149" s="2" t="s">
        <v>12</v>
      </c>
      <c r="C149" s="2" t="s">
        <v>591</v>
      </c>
      <c r="D149" s="2" t="s">
        <v>12</v>
      </c>
      <c r="E149" s="2" t="s">
        <v>12</v>
      </c>
      <c r="F149" s="2" t="s">
        <v>12</v>
      </c>
      <c r="G149" s="2" t="s">
        <v>12</v>
      </c>
      <c r="H149" s="2" t="s">
        <v>12</v>
      </c>
      <c r="I149" s="2" t="s">
        <v>375</v>
      </c>
    </row>
    <row r="150" spans="1:9" x14ac:dyDescent="0.3">
      <c r="A150" s="1" t="s">
        <v>592</v>
      </c>
      <c r="B150" s="2" t="s">
        <v>593</v>
      </c>
      <c r="C150" s="2" t="s">
        <v>594</v>
      </c>
      <c r="D150" s="2" t="s">
        <v>595</v>
      </c>
      <c r="E150" s="2" t="s">
        <v>12</v>
      </c>
      <c r="F150" s="2" t="s">
        <v>12</v>
      </c>
      <c r="G150" s="2" t="s">
        <v>12</v>
      </c>
      <c r="H150" s="2" t="s">
        <v>12</v>
      </c>
      <c r="I150" s="2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4D2F9-1CDC-4DEA-AD69-4E367A7327D3}">
  <sheetPr codeName="Sheet2"/>
  <dimension ref="A1:Q150"/>
  <sheetViews>
    <sheetView workbookViewId="0">
      <selection activeCell="T5" sqref="T5"/>
    </sheetView>
  </sheetViews>
  <sheetFormatPr defaultRowHeight="14.4" x14ac:dyDescent="0.3"/>
  <sheetData>
    <row r="1" spans="1:17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1" t="s">
        <v>9</v>
      </c>
      <c r="B2" s="2" t="s">
        <v>612</v>
      </c>
      <c r="C2" s="2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1" t="s">
        <v>14</v>
      </c>
      <c r="B3" s="2" t="s">
        <v>614</v>
      </c>
      <c r="C3" s="2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1" t="s">
        <v>18</v>
      </c>
      <c r="B4" s="2" t="s">
        <v>616</v>
      </c>
      <c r="C4" s="2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1" t="s">
        <v>23</v>
      </c>
      <c r="B5" s="2" t="s">
        <v>618</v>
      </c>
      <c r="C5" s="2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1" t="s">
        <v>28</v>
      </c>
      <c r="B6" s="2" t="s">
        <v>620</v>
      </c>
      <c r="C6" s="2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1" t="s">
        <v>33</v>
      </c>
      <c r="B7" s="2" t="s">
        <v>622</v>
      </c>
      <c r="C7" s="2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1" t="s">
        <v>37</v>
      </c>
      <c r="B8" s="2" t="s">
        <v>624</v>
      </c>
      <c r="C8" s="2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1" t="s">
        <v>42</v>
      </c>
      <c r="B9" s="2" t="s">
        <v>626</v>
      </c>
      <c r="C9" s="2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1" t="s">
        <v>46</v>
      </c>
      <c r="B10" s="2" t="s">
        <v>628</v>
      </c>
      <c r="C10" s="2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1" t="s">
        <v>50</v>
      </c>
      <c r="B11" s="2" t="s">
        <v>630</v>
      </c>
      <c r="C11" s="2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1" t="s">
        <v>54</v>
      </c>
      <c r="B12" s="2" t="s">
        <v>632</v>
      </c>
      <c r="C12" s="2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1" t="s">
        <v>58</v>
      </c>
      <c r="B13" s="2" t="s">
        <v>634</v>
      </c>
      <c r="C13" s="2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1" t="s">
        <v>63</v>
      </c>
      <c r="B14" s="2" t="s">
        <v>636</v>
      </c>
      <c r="C14" s="2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1" t="s">
        <v>68</v>
      </c>
      <c r="B15" s="2" t="s">
        <v>638</v>
      </c>
      <c r="C15" s="2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1" t="s">
        <v>72</v>
      </c>
      <c r="B16" s="2" t="s">
        <v>640</v>
      </c>
      <c r="C16" s="2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1" t="s">
        <v>76</v>
      </c>
      <c r="B17" s="2" t="s">
        <v>642</v>
      </c>
      <c r="C17" s="2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1" t="s">
        <v>81</v>
      </c>
      <c r="B18" s="2" t="s">
        <v>644</v>
      </c>
      <c r="C18" s="2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1" t="s">
        <v>85</v>
      </c>
      <c r="B19" s="2" t="s">
        <v>646</v>
      </c>
      <c r="C19" s="2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1" t="s">
        <v>88</v>
      </c>
      <c r="B20" s="2" t="s">
        <v>647</v>
      </c>
      <c r="C20" s="2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1" t="s">
        <v>94</v>
      </c>
      <c r="B21" s="2" t="s">
        <v>649</v>
      </c>
      <c r="C21" s="2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1" t="s">
        <v>99</v>
      </c>
      <c r="B22" s="2" t="s">
        <v>651</v>
      </c>
      <c r="C22" s="2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1" t="s">
        <v>103</v>
      </c>
      <c r="B23" s="2" t="s">
        <v>653</v>
      </c>
      <c r="C23" s="2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1" t="s">
        <v>107</v>
      </c>
      <c r="B24" s="2" t="s">
        <v>655</v>
      </c>
      <c r="C24" s="2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1" t="s">
        <v>112</v>
      </c>
      <c r="B25" s="2" t="s">
        <v>657</v>
      </c>
      <c r="C25" s="2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1" t="s">
        <v>117</v>
      </c>
      <c r="B26" s="2" t="s">
        <v>659</v>
      </c>
      <c r="C26" s="2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1" t="s">
        <v>121</v>
      </c>
      <c r="B27" s="2" t="s">
        <v>661</v>
      </c>
      <c r="C27" s="2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1" t="s">
        <v>124</v>
      </c>
      <c r="B28" s="2" t="s">
        <v>640</v>
      </c>
      <c r="C28" s="2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1" t="s">
        <v>128</v>
      </c>
      <c r="B29" s="2" t="s">
        <v>664</v>
      </c>
      <c r="C29" s="2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1" t="s">
        <v>132</v>
      </c>
      <c r="B30" s="2" t="s">
        <v>666</v>
      </c>
      <c r="C30" s="2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1" t="s">
        <v>138</v>
      </c>
      <c r="B31" s="2" t="s">
        <v>668</v>
      </c>
      <c r="C31" s="2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1" t="s">
        <v>143</v>
      </c>
      <c r="B32" s="2" t="s">
        <v>670</v>
      </c>
      <c r="C32" s="2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1" t="s">
        <v>145</v>
      </c>
      <c r="B33" s="2" t="s">
        <v>672</v>
      </c>
      <c r="C33" s="2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1" t="s">
        <v>150</v>
      </c>
      <c r="B34" s="2" t="s">
        <v>674</v>
      </c>
      <c r="C34" s="2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1" t="s">
        <v>153</v>
      </c>
      <c r="B35" s="2" t="s">
        <v>676</v>
      </c>
      <c r="C35" s="2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1" t="s">
        <v>157</v>
      </c>
      <c r="B36" s="2" t="s">
        <v>678</v>
      </c>
      <c r="C36" s="2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1" t="s">
        <v>161</v>
      </c>
      <c r="B37" s="2" t="s">
        <v>680</v>
      </c>
      <c r="C37" s="2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1" t="s">
        <v>167</v>
      </c>
      <c r="B38" s="2" t="s">
        <v>682</v>
      </c>
      <c r="C38" s="2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1" t="s">
        <v>171</v>
      </c>
      <c r="B39" s="2" t="s">
        <v>684</v>
      </c>
      <c r="C39" s="2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1" t="s">
        <v>173</v>
      </c>
      <c r="B40" s="2" t="s">
        <v>686</v>
      </c>
      <c r="C40" s="2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1" t="s">
        <v>177</v>
      </c>
      <c r="B41" s="2" t="s">
        <v>688</v>
      </c>
      <c r="C41" s="2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1" t="s">
        <v>181</v>
      </c>
      <c r="B42" s="2" t="s">
        <v>690</v>
      </c>
      <c r="C42" s="2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1" t="s">
        <v>185</v>
      </c>
      <c r="B43" s="2" t="s">
        <v>692</v>
      </c>
      <c r="C43" s="2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1" t="s">
        <v>190</v>
      </c>
      <c r="B44" s="2" t="s">
        <v>694</v>
      </c>
      <c r="C44" s="2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1" t="s">
        <v>193</v>
      </c>
      <c r="B45" s="2" t="s">
        <v>696</v>
      </c>
      <c r="C45" s="2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1" t="s">
        <v>197</v>
      </c>
      <c r="B46" s="2" t="s">
        <v>698</v>
      </c>
      <c r="C46" s="2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1" t="s">
        <v>201</v>
      </c>
      <c r="B47" s="2" t="s">
        <v>700</v>
      </c>
      <c r="C47" s="2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1" t="s">
        <v>206</v>
      </c>
      <c r="B48" s="2" t="s">
        <v>702</v>
      </c>
      <c r="C48" s="2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1" t="s">
        <v>208</v>
      </c>
      <c r="B49" s="2" t="s">
        <v>704</v>
      </c>
      <c r="C49" s="2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1" t="s">
        <v>210</v>
      </c>
      <c r="B50" s="2" t="s">
        <v>706</v>
      </c>
      <c r="C50" s="2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1" t="s">
        <v>213</v>
      </c>
      <c r="B51" s="2" t="s">
        <v>708</v>
      </c>
      <c r="C51" s="2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1" t="s">
        <v>217</v>
      </c>
      <c r="B52" s="2" t="s">
        <v>710</v>
      </c>
      <c r="C52" s="2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1" t="s">
        <v>222</v>
      </c>
      <c r="B53" s="2" t="s">
        <v>712</v>
      </c>
      <c r="C53" s="2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1" t="s">
        <v>224</v>
      </c>
      <c r="B54" s="2" t="s">
        <v>714</v>
      </c>
      <c r="C54" s="2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1" t="s">
        <v>227</v>
      </c>
      <c r="B55" s="2" t="s">
        <v>716</v>
      </c>
      <c r="C55" s="2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1" t="s">
        <v>231</v>
      </c>
      <c r="B56" s="2" t="s">
        <v>718</v>
      </c>
      <c r="C56" s="2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1" t="s">
        <v>235</v>
      </c>
      <c r="B57" s="2" t="s">
        <v>720</v>
      </c>
      <c r="C57" s="2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1" t="s">
        <v>237</v>
      </c>
      <c r="B58" s="2" t="s">
        <v>722</v>
      </c>
      <c r="C58" s="2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1" t="s">
        <v>239</v>
      </c>
      <c r="B59" s="2" t="s">
        <v>657</v>
      </c>
      <c r="C59" s="2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1" t="s">
        <v>242</v>
      </c>
      <c r="B60" s="2" t="s">
        <v>725</v>
      </c>
      <c r="C60" s="2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1" t="s">
        <v>247</v>
      </c>
      <c r="B61" s="2" t="s">
        <v>727</v>
      </c>
      <c r="C61" s="2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1" t="s">
        <v>252</v>
      </c>
      <c r="B62" s="2" t="s">
        <v>729</v>
      </c>
      <c r="C62" s="2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1" t="s">
        <v>255</v>
      </c>
      <c r="B63" s="2" t="s">
        <v>731</v>
      </c>
      <c r="C63" s="2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1" t="s">
        <v>258</v>
      </c>
      <c r="B64" s="2" t="s">
        <v>733</v>
      </c>
      <c r="C64" s="2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1" t="s">
        <v>262</v>
      </c>
      <c r="B65" s="2" t="s">
        <v>735</v>
      </c>
      <c r="C65" s="2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1" t="s">
        <v>268</v>
      </c>
      <c r="B66" s="2" t="s">
        <v>737</v>
      </c>
      <c r="C66" s="2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1" t="s">
        <v>272</v>
      </c>
      <c r="B67" s="2" t="s">
        <v>739</v>
      </c>
      <c r="C67" s="2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1" t="s">
        <v>275</v>
      </c>
      <c r="B68" s="2" t="s">
        <v>741</v>
      </c>
      <c r="C68" s="2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1" t="s">
        <v>279</v>
      </c>
      <c r="B69" s="2" t="s">
        <v>743</v>
      </c>
      <c r="C69" s="2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1" t="s">
        <v>283</v>
      </c>
      <c r="B70" s="2" t="s">
        <v>745</v>
      </c>
      <c r="C70" s="2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1" t="s">
        <v>284</v>
      </c>
      <c r="B71" s="2" t="s">
        <v>747</v>
      </c>
      <c r="C71" s="2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1" t="s">
        <v>289</v>
      </c>
      <c r="B72" s="2" t="s">
        <v>749</v>
      </c>
      <c r="C72" s="2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1" t="s">
        <v>291</v>
      </c>
      <c r="B73" s="2" t="s">
        <v>751</v>
      </c>
      <c r="C73" s="2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1" t="s">
        <v>295</v>
      </c>
      <c r="B74" s="2" t="s">
        <v>753</v>
      </c>
      <c r="C74" s="2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1" t="s">
        <v>299</v>
      </c>
      <c r="B75" s="2" t="s">
        <v>755</v>
      </c>
      <c r="C75" s="2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1" t="s">
        <v>302</v>
      </c>
      <c r="B76" s="2" t="s">
        <v>757</v>
      </c>
      <c r="C76" s="2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1" t="s">
        <v>305</v>
      </c>
      <c r="B77" s="2" t="s">
        <v>759</v>
      </c>
      <c r="C77" s="2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1" t="s">
        <v>309</v>
      </c>
      <c r="B78" s="2" t="s">
        <v>761</v>
      </c>
      <c r="C78" s="2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1" t="s">
        <v>315</v>
      </c>
      <c r="B79" s="2" t="s">
        <v>763</v>
      </c>
      <c r="C79" s="2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1" t="s">
        <v>320</v>
      </c>
      <c r="B80" s="2" t="s">
        <v>765</v>
      </c>
      <c r="C80" s="2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1" t="s">
        <v>323</v>
      </c>
      <c r="B81" s="2" t="s">
        <v>767</v>
      </c>
      <c r="C81" s="2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1" t="s">
        <v>328</v>
      </c>
      <c r="B82" s="2" t="s">
        <v>769</v>
      </c>
      <c r="C82" s="2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1" t="s">
        <v>333</v>
      </c>
      <c r="B83" s="2" t="s">
        <v>771</v>
      </c>
      <c r="C83" s="2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1" t="s">
        <v>337</v>
      </c>
      <c r="B84" s="2" t="s">
        <v>773</v>
      </c>
      <c r="C84" s="2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1" t="s">
        <v>339</v>
      </c>
      <c r="B85" s="2" t="s">
        <v>775</v>
      </c>
      <c r="C85" s="2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1" t="s">
        <v>342</v>
      </c>
      <c r="B86" s="2" t="s">
        <v>777</v>
      </c>
      <c r="C86" s="2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1" t="s">
        <v>345</v>
      </c>
      <c r="B87" s="2" t="s">
        <v>779</v>
      </c>
      <c r="C87" s="2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1" t="s">
        <v>350</v>
      </c>
      <c r="B88" s="2" t="s">
        <v>781</v>
      </c>
      <c r="C88" s="2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1" t="s">
        <v>354</v>
      </c>
      <c r="B89" s="2" t="s">
        <v>783</v>
      </c>
      <c r="C89" s="2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1" t="s">
        <v>360</v>
      </c>
      <c r="B90" s="2" t="s">
        <v>785</v>
      </c>
      <c r="C90" s="2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1" t="s">
        <v>367</v>
      </c>
      <c r="B91" s="2" t="s">
        <v>787</v>
      </c>
      <c r="C91" s="2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1" t="s">
        <v>371</v>
      </c>
      <c r="B92" s="2" t="s">
        <v>789</v>
      </c>
      <c r="C92" s="2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1" t="s">
        <v>374</v>
      </c>
      <c r="B93" s="2" t="s">
        <v>791</v>
      </c>
      <c r="C93" s="2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1" t="s">
        <v>379</v>
      </c>
      <c r="B94" s="2" t="s">
        <v>793</v>
      </c>
      <c r="C94" s="2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1" t="s">
        <v>381</v>
      </c>
      <c r="B95" s="2" t="s">
        <v>795</v>
      </c>
      <c r="C95" s="2" t="s">
        <v>796</v>
      </c>
      <c r="D95" s="5">
        <v>52</v>
      </c>
      <c r="E95" s="2"/>
      <c r="F95" s="2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2" t="s">
        <v>796</v>
      </c>
      <c r="O95" s="2" t="s">
        <v>796</v>
      </c>
      <c r="P95" s="2" t="s">
        <v>796</v>
      </c>
      <c r="Q95" s="2" t="s">
        <v>796</v>
      </c>
    </row>
    <row r="96" spans="1:17" x14ac:dyDescent="0.3">
      <c r="A96" s="1" t="s">
        <v>386</v>
      </c>
      <c r="B96" s="2" t="s">
        <v>797</v>
      </c>
      <c r="C96" s="2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1" t="s">
        <v>391</v>
      </c>
      <c r="B97" s="2" t="s">
        <v>799</v>
      </c>
      <c r="C97" s="2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1" t="s">
        <v>396</v>
      </c>
      <c r="B98" s="2" t="s">
        <v>801</v>
      </c>
      <c r="C98" s="2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1" t="s">
        <v>400</v>
      </c>
      <c r="B99" s="2" t="s">
        <v>803</v>
      </c>
      <c r="C99" s="2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1" t="s">
        <v>405</v>
      </c>
      <c r="B100" s="2" t="s">
        <v>720</v>
      </c>
      <c r="C100" s="2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1" t="s">
        <v>407</v>
      </c>
      <c r="B101" s="2" t="s">
        <v>806</v>
      </c>
      <c r="C101" s="2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1" t="s">
        <v>410</v>
      </c>
      <c r="B102" s="2" t="s">
        <v>808</v>
      </c>
      <c r="C102" s="2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1" t="s">
        <v>415</v>
      </c>
      <c r="B103" s="2" t="s">
        <v>810</v>
      </c>
      <c r="C103" s="2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1" t="s">
        <v>418</v>
      </c>
      <c r="B104" s="2" t="s">
        <v>812</v>
      </c>
      <c r="C104" s="2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1" t="s">
        <v>423</v>
      </c>
      <c r="B105" s="2" t="s">
        <v>814</v>
      </c>
      <c r="C105" s="2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1" t="s">
        <v>429</v>
      </c>
      <c r="B106" s="2" t="s">
        <v>816</v>
      </c>
      <c r="C106" s="2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1" t="s">
        <v>433</v>
      </c>
      <c r="B107" s="2" t="s">
        <v>818</v>
      </c>
      <c r="C107" s="2"/>
      <c r="D107" s="5">
        <v>64</v>
      </c>
      <c r="E107" s="2"/>
      <c r="F107" s="2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2" t="s">
        <v>796</v>
      </c>
      <c r="O107" s="2" t="s">
        <v>796</v>
      </c>
      <c r="P107" s="2" t="s">
        <v>796</v>
      </c>
      <c r="Q107" s="2" t="s">
        <v>796</v>
      </c>
    </row>
    <row r="108" spans="1:17" x14ac:dyDescent="0.3">
      <c r="A108" s="1" t="s">
        <v>437</v>
      </c>
      <c r="B108" s="2" t="s">
        <v>612</v>
      </c>
      <c r="C108" s="2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1" t="s">
        <v>440</v>
      </c>
      <c r="B109" s="2" t="s">
        <v>820</v>
      </c>
      <c r="C109" s="2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1" t="s">
        <v>444</v>
      </c>
      <c r="B110" s="2" t="s">
        <v>822</v>
      </c>
      <c r="C110" s="2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1" t="s">
        <v>446</v>
      </c>
      <c r="B111" s="2" t="s">
        <v>824</v>
      </c>
      <c r="C111" s="2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1" t="s">
        <v>450</v>
      </c>
      <c r="B112" s="2" t="s">
        <v>826</v>
      </c>
      <c r="C112" s="2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1" t="s">
        <v>454</v>
      </c>
      <c r="B113" s="2" t="s">
        <v>828</v>
      </c>
      <c r="C113" s="2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1" t="s">
        <v>457</v>
      </c>
      <c r="B114" s="2" t="s">
        <v>830</v>
      </c>
      <c r="C114" s="2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1" t="s">
        <v>461</v>
      </c>
      <c r="B115" s="2" t="s">
        <v>832</v>
      </c>
      <c r="C115" s="2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1" t="s">
        <v>464</v>
      </c>
      <c r="B116" s="2" t="s">
        <v>733</v>
      </c>
      <c r="C116" s="2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1" t="s">
        <v>466</v>
      </c>
      <c r="B117" s="2" t="s">
        <v>835</v>
      </c>
      <c r="C117" s="2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1" t="s">
        <v>468</v>
      </c>
      <c r="B118" s="2" t="s">
        <v>837</v>
      </c>
      <c r="C118" s="2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1" t="s">
        <v>472</v>
      </c>
      <c r="B119" s="2" t="s">
        <v>839</v>
      </c>
      <c r="C119" s="2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1" t="s">
        <v>476</v>
      </c>
      <c r="B120" s="2" t="s">
        <v>841</v>
      </c>
      <c r="C120" s="2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1" t="s">
        <v>481</v>
      </c>
      <c r="B121" s="2" t="s">
        <v>843</v>
      </c>
      <c r="C121" s="2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1" t="s">
        <v>484</v>
      </c>
      <c r="B122" s="2" t="s">
        <v>845</v>
      </c>
      <c r="C122" s="2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1" t="s">
        <v>488</v>
      </c>
      <c r="B123" s="2" t="s">
        <v>847</v>
      </c>
      <c r="C123" s="2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1" t="s">
        <v>494</v>
      </c>
      <c r="B124" s="2" t="s">
        <v>849</v>
      </c>
      <c r="C124" s="2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1" t="s">
        <v>495</v>
      </c>
      <c r="B125" s="2" t="s">
        <v>851</v>
      </c>
      <c r="C125" s="2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1" t="s">
        <v>498</v>
      </c>
      <c r="B126" s="2" t="s">
        <v>853</v>
      </c>
      <c r="C126" s="2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1" t="s">
        <v>502</v>
      </c>
      <c r="B127" s="2" t="s">
        <v>855</v>
      </c>
      <c r="C127" s="2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1" t="s">
        <v>507</v>
      </c>
      <c r="B128" s="2" t="s">
        <v>857</v>
      </c>
      <c r="C128" s="2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1" t="s">
        <v>511</v>
      </c>
      <c r="B129" s="2" t="s">
        <v>859</v>
      </c>
      <c r="C129" s="2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1" t="s">
        <v>515</v>
      </c>
      <c r="B130" s="2" t="s">
        <v>614</v>
      </c>
      <c r="C130" s="2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1" t="s">
        <v>520</v>
      </c>
      <c r="B131" s="2" t="s">
        <v>862</v>
      </c>
      <c r="C131" s="2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1" t="s">
        <v>523</v>
      </c>
      <c r="B132" s="2" t="s">
        <v>864</v>
      </c>
      <c r="C132" s="2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1" t="s">
        <v>526</v>
      </c>
      <c r="B133" s="2" t="s">
        <v>682</v>
      </c>
      <c r="C133" s="2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1" t="s">
        <v>530</v>
      </c>
      <c r="B134" s="2" t="s">
        <v>867</v>
      </c>
      <c r="C134" s="2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1" t="s">
        <v>534</v>
      </c>
      <c r="B135" s="2" t="s">
        <v>869</v>
      </c>
      <c r="C135" s="2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1" t="s">
        <v>540</v>
      </c>
      <c r="B136" s="2" t="s">
        <v>871</v>
      </c>
      <c r="C136" s="2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1" t="s">
        <v>544</v>
      </c>
      <c r="B137" s="2" t="s">
        <v>873</v>
      </c>
      <c r="C137" s="2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1" t="s">
        <v>549</v>
      </c>
      <c r="B138" s="2" t="s">
        <v>875</v>
      </c>
      <c r="C138" s="2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1" t="s">
        <v>553</v>
      </c>
      <c r="B139" s="2" t="s">
        <v>877</v>
      </c>
      <c r="C139" s="2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1" t="s">
        <v>557</v>
      </c>
      <c r="B140" s="2" t="s">
        <v>879</v>
      </c>
      <c r="C140" s="2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1" t="s">
        <v>560</v>
      </c>
      <c r="B141" s="2" t="s">
        <v>881</v>
      </c>
      <c r="C141" s="2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1" t="s">
        <v>562</v>
      </c>
      <c r="B142" s="2" t="s">
        <v>883</v>
      </c>
      <c r="C142" s="2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1" t="s">
        <v>568</v>
      </c>
      <c r="B143" s="2" t="s">
        <v>885</v>
      </c>
      <c r="C143" s="2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1" t="s">
        <v>570</v>
      </c>
      <c r="B144" s="2" t="s">
        <v>887</v>
      </c>
      <c r="C144" s="2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1" t="s">
        <v>575</v>
      </c>
      <c r="B145" s="2" t="s">
        <v>889</v>
      </c>
      <c r="C145" s="2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1" t="s">
        <v>577</v>
      </c>
      <c r="B146" s="2" t="s">
        <v>891</v>
      </c>
      <c r="C146" s="2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1" t="s">
        <v>580</v>
      </c>
      <c r="B147" s="2" t="s">
        <v>893</v>
      </c>
      <c r="C147" s="2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1" t="s">
        <v>586</v>
      </c>
      <c r="B148" s="2" t="s">
        <v>895</v>
      </c>
      <c r="C148" s="2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1" t="s">
        <v>590</v>
      </c>
      <c r="B149" s="2" t="s">
        <v>897</v>
      </c>
      <c r="C149" s="2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1" t="s">
        <v>592</v>
      </c>
      <c r="B150" s="2" t="s">
        <v>899</v>
      </c>
      <c r="C150" s="2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60683-0939-4D8B-8532-6E042A1B060B}">
  <sheetPr codeName="Sheet3"/>
  <dimension ref="A1:J150"/>
  <sheetViews>
    <sheetView workbookViewId="0">
      <selection activeCell="N14" sqref="N14"/>
    </sheetView>
  </sheetViews>
  <sheetFormatPr defaultRowHeight="14.4" x14ac:dyDescent="0.3"/>
  <sheetData>
    <row r="1" spans="1:10" ht="52.8" x14ac:dyDescent="0.3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">
      <c r="A2" s="1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2" t="s">
        <v>909</v>
      </c>
      <c r="I2" s="2" t="s">
        <v>910</v>
      </c>
      <c r="J2" s="2" t="s">
        <v>911</v>
      </c>
    </row>
    <row r="3" spans="1:10" x14ac:dyDescent="0.3">
      <c r="A3" s="1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2" t="s">
        <v>909</v>
      </c>
      <c r="I3" s="2" t="s">
        <v>910</v>
      </c>
      <c r="J3" s="2" t="s">
        <v>911</v>
      </c>
    </row>
    <row r="4" spans="1:10" x14ac:dyDescent="0.3">
      <c r="A4" s="1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2" t="s">
        <v>912</v>
      </c>
      <c r="I4" s="2" t="s">
        <v>12</v>
      </c>
      <c r="J4" s="2" t="s">
        <v>913</v>
      </c>
    </row>
    <row r="5" spans="1:10" x14ac:dyDescent="0.3">
      <c r="A5" s="1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2" t="s">
        <v>912</v>
      </c>
      <c r="I5" s="2" t="s">
        <v>12</v>
      </c>
      <c r="J5" s="2" t="s">
        <v>913</v>
      </c>
    </row>
    <row r="6" spans="1:10" x14ac:dyDescent="0.3">
      <c r="A6" s="1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2" t="s">
        <v>914</v>
      </c>
      <c r="I6" s="2" t="s">
        <v>915</v>
      </c>
      <c r="J6" s="2" t="s">
        <v>916</v>
      </c>
    </row>
    <row r="7" spans="1:10" x14ac:dyDescent="0.3">
      <c r="A7" s="1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2" t="s">
        <v>914</v>
      </c>
      <c r="I7" s="2" t="s">
        <v>915</v>
      </c>
      <c r="J7" s="2" t="s">
        <v>916</v>
      </c>
    </row>
    <row r="8" spans="1:10" x14ac:dyDescent="0.3">
      <c r="A8" s="1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2" t="s">
        <v>917</v>
      </c>
      <c r="I8" s="2" t="s">
        <v>12</v>
      </c>
      <c r="J8" s="2" t="s">
        <v>918</v>
      </c>
    </row>
    <row r="9" spans="1:10" x14ac:dyDescent="0.3">
      <c r="A9" s="1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2" t="s">
        <v>917</v>
      </c>
      <c r="I9" s="2" t="s">
        <v>12</v>
      </c>
      <c r="J9" s="2" t="s">
        <v>918</v>
      </c>
    </row>
    <row r="10" spans="1:10" x14ac:dyDescent="0.3">
      <c r="A10" s="1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2" t="s">
        <v>919</v>
      </c>
      <c r="I10" s="2" t="s">
        <v>920</v>
      </c>
      <c r="J10" s="2" t="s">
        <v>921</v>
      </c>
    </row>
    <row r="11" spans="1:10" x14ac:dyDescent="0.3">
      <c r="A11" s="1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2" t="s">
        <v>919</v>
      </c>
      <c r="I11" s="2" t="s">
        <v>920</v>
      </c>
      <c r="J11" s="2" t="s">
        <v>921</v>
      </c>
    </row>
    <row r="12" spans="1:10" x14ac:dyDescent="0.3">
      <c r="A12" s="1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2" t="s">
        <v>922</v>
      </c>
      <c r="I12" s="2" t="s">
        <v>923</v>
      </c>
      <c r="J12" s="2" t="s">
        <v>924</v>
      </c>
    </row>
    <row r="13" spans="1:10" x14ac:dyDescent="0.3">
      <c r="A13" s="1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2" t="s">
        <v>922</v>
      </c>
      <c r="I13" s="2" t="s">
        <v>923</v>
      </c>
      <c r="J13" s="2" t="s">
        <v>924</v>
      </c>
    </row>
    <row r="14" spans="1:10" x14ac:dyDescent="0.3">
      <c r="A14" s="1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2" t="s">
        <v>925</v>
      </c>
      <c r="I14" s="2" t="s">
        <v>12</v>
      </c>
      <c r="J14" s="2" t="s">
        <v>926</v>
      </c>
    </row>
    <row r="15" spans="1:10" x14ac:dyDescent="0.3">
      <c r="A15" s="1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2" t="s">
        <v>925</v>
      </c>
      <c r="I15" s="2" t="s">
        <v>12</v>
      </c>
      <c r="J15" s="2" t="s">
        <v>926</v>
      </c>
    </row>
    <row r="16" spans="1:10" x14ac:dyDescent="0.3">
      <c r="A16" s="1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2" t="s">
        <v>922</v>
      </c>
      <c r="I16" s="2" t="s">
        <v>927</v>
      </c>
      <c r="J16" s="2" t="s">
        <v>928</v>
      </c>
    </row>
    <row r="17" spans="1:10" x14ac:dyDescent="0.3">
      <c r="A17" s="1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2" t="s">
        <v>922</v>
      </c>
      <c r="I17" s="2" t="s">
        <v>927</v>
      </c>
      <c r="J17" s="2" t="s">
        <v>928</v>
      </c>
    </row>
    <row r="18" spans="1:10" x14ac:dyDescent="0.3">
      <c r="A18" s="1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2" t="s">
        <v>929</v>
      </c>
      <c r="I18" s="2" t="s">
        <v>926</v>
      </c>
      <c r="J18" s="2" t="s">
        <v>913</v>
      </c>
    </row>
    <row r="19" spans="1:10" x14ac:dyDescent="0.3">
      <c r="A19" s="1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2" t="s">
        <v>929</v>
      </c>
      <c r="I19" s="2" t="s">
        <v>926</v>
      </c>
      <c r="J19" s="2" t="s">
        <v>913</v>
      </c>
    </row>
    <row r="20" spans="1:10" x14ac:dyDescent="0.3">
      <c r="A20" s="1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2" t="s">
        <v>930</v>
      </c>
      <c r="I20" s="2" t="s">
        <v>910</v>
      </c>
      <c r="J20" s="2" t="s">
        <v>926</v>
      </c>
    </row>
    <row r="21" spans="1:10" x14ac:dyDescent="0.3">
      <c r="A21" s="1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2" t="s">
        <v>930</v>
      </c>
      <c r="I21" s="2" t="s">
        <v>910</v>
      </c>
      <c r="J21" s="2" t="s">
        <v>926</v>
      </c>
    </row>
    <row r="22" spans="1:10" x14ac:dyDescent="0.3">
      <c r="A22" s="1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2" t="s">
        <v>931</v>
      </c>
      <c r="I22" s="2" t="s">
        <v>932</v>
      </c>
      <c r="J22" s="2" t="s">
        <v>911</v>
      </c>
    </row>
    <row r="23" spans="1:10" x14ac:dyDescent="0.3">
      <c r="A23" s="1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2" t="s">
        <v>931</v>
      </c>
      <c r="I23" s="2" t="s">
        <v>932</v>
      </c>
      <c r="J23" s="2" t="s">
        <v>911</v>
      </c>
    </row>
    <row r="24" spans="1:10" x14ac:dyDescent="0.3">
      <c r="A24" s="1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2" t="s">
        <v>933</v>
      </c>
      <c r="I24" s="2" t="s">
        <v>12</v>
      </c>
      <c r="J24" s="2" t="s">
        <v>934</v>
      </c>
    </row>
    <row r="25" spans="1:10" x14ac:dyDescent="0.3">
      <c r="A25" s="1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2" t="s">
        <v>933</v>
      </c>
      <c r="I25" s="2" t="s">
        <v>12</v>
      </c>
      <c r="J25" s="2" t="s">
        <v>934</v>
      </c>
    </row>
    <row r="26" spans="1:10" x14ac:dyDescent="0.3">
      <c r="A26" s="1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2" t="s">
        <v>933</v>
      </c>
      <c r="I26" s="2" t="s">
        <v>910</v>
      </c>
      <c r="J26" s="2" t="s">
        <v>935</v>
      </c>
    </row>
    <row r="27" spans="1:10" x14ac:dyDescent="0.3">
      <c r="A27" s="1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2" t="s">
        <v>933</v>
      </c>
      <c r="I27" s="2" t="s">
        <v>910</v>
      </c>
      <c r="J27" s="2" t="s">
        <v>935</v>
      </c>
    </row>
    <row r="28" spans="1:10" x14ac:dyDescent="0.3">
      <c r="A28" s="1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2" t="s">
        <v>925</v>
      </c>
      <c r="I28" s="2" t="s">
        <v>936</v>
      </c>
      <c r="J28" s="2" t="s">
        <v>937</v>
      </c>
    </row>
    <row r="29" spans="1:10" x14ac:dyDescent="0.3">
      <c r="A29" s="1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2" t="s">
        <v>925</v>
      </c>
      <c r="I29" s="2" t="s">
        <v>936</v>
      </c>
      <c r="J29" s="2" t="s">
        <v>937</v>
      </c>
    </row>
    <row r="30" spans="1:10" x14ac:dyDescent="0.3">
      <c r="A30" s="1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2" t="s">
        <v>925</v>
      </c>
      <c r="I30" s="2" t="s">
        <v>938</v>
      </c>
      <c r="J30" s="2" t="s">
        <v>918</v>
      </c>
    </row>
    <row r="31" spans="1:10" x14ac:dyDescent="0.3">
      <c r="A31" s="1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2" t="s">
        <v>925</v>
      </c>
      <c r="I31" s="2" t="s">
        <v>938</v>
      </c>
      <c r="J31" s="2" t="s">
        <v>918</v>
      </c>
    </row>
    <row r="32" spans="1:10" x14ac:dyDescent="0.3">
      <c r="A32" s="1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2" t="s">
        <v>909</v>
      </c>
      <c r="I32" s="2" t="s">
        <v>376</v>
      </c>
      <c r="J32" s="2" t="s">
        <v>911</v>
      </c>
    </row>
    <row r="33" spans="1:10" x14ac:dyDescent="0.3">
      <c r="A33" s="1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2" t="s">
        <v>909</v>
      </c>
      <c r="I33" s="2" t="s">
        <v>376</v>
      </c>
      <c r="J33" s="2" t="s">
        <v>911</v>
      </c>
    </row>
    <row r="34" spans="1:10" x14ac:dyDescent="0.3">
      <c r="A34" s="1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2" t="s">
        <v>939</v>
      </c>
      <c r="I34" s="2" t="s">
        <v>12</v>
      </c>
      <c r="J34" s="2" t="s">
        <v>940</v>
      </c>
    </row>
    <row r="35" spans="1:10" x14ac:dyDescent="0.3">
      <c r="A35" s="1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2" t="s">
        <v>939</v>
      </c>
      <c r="I35" s="2" t="s">
        <v>12</v>
      </c>
      <c r="J35" s="2" t="s">
        <v>940</v>
      </c>
    </row>
    <row r="36" spans="1:10" x14ac:dyDescent="0.3">
      <c r="A36" s="1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2" t="s">
        <v>941</v>
      </c>
      <c r="I36" s="2" t="s">
        <v>12</v>
      </c>
      <c r="J36" s="2" t="s">
        <v>920</v>
      </c>
    </row>
    <row r="37" spans="1:10" x14ac:dyDescent="0.3">
      <c r="A37" s="1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2" t="s">
        <v>941</v>
      </c>
      <c r="I37" s="2" t="s">
        <v>12</v>
      </c>
      <c r="J37" s="2" t="s">
        <v>920</v>
      </c>
    </row>
    <row r="38" spans="1:10" x14ac:dyDescent="0.3">
      <c r="A38" s="1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2" t="s">
        <v>942</v>
      </c>
      <c r="I38" s="2" t="s">
        <v>943</v>
      </c>
      <c r="J38" s="2" t="s">
        <v>935</v>
      </c>
    </row>
    <row r="39" spans="1:10" x14ac:dyDescent="0.3">
      <c r="A39" s="1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2" t="s">
        <v>942</v>
      </c>
      <c r="I39" s="2" t="s">
        <v>943</v>
      </c>
      <c r="J39" s="2" t="s">
        <v>935</v>
      </c>
    </row>
    <row r="40" spans="1:10" x14ac:dyDescent="0.3">
      <c r="A40" s="1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2" t="s">
        <v>944</v>
      </c>
      <c r="I40" s="2" t="s">
        <v>913</v>
      </c>
      <c r="J40" s="2" t="s">
        <v>945</v>
      </c>
    </row>
    <row r="41" spans="1:10" x14ac:dyDescent="0.3">
      <c r="A41" s="1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2" t="s">
        <v>944</v>
      </c>
      <c r="I41" s="2" t="s">
        <v>913</v>
      </c>
      <c r="J41" s="2" t="s">
        <v>945</v>
      </c>
    </row>
    <row r="42" spans="1:10" x14ac:dyDescent="0.3">
      <c r="A42" s="1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2" t="s">
        <v>946</v>
      </c>
      <c r="I42" s="2" t="s">
        <v>12</v>
      </c>
      <c r="J42" s="2" t="s">
        <v>926</v>
      </c>
    </row>
    <row r="43" spans="1:10" x14ac:dyDescent="0.3">
      <c r="A43" s="1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2" t="s">
        <v>946</v>
      </c>
      <c r="I43" s="2" t="s">
        <v>12</v>
      </c>
      <c r="J43" s="2" t="s">
        <v>926</v>
      </c>
    </row>
    <row r="44" spans="1:10" x14ac:dyDescent="0.3">
      <c r="A44" s="1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2" t="s">
        <v>947</v>
      </c>
      <c r="I44" s="2" t="s">
        <v>920</v>
      </c>
      <c r="J44" s="2" t="s">
        <v>945</v>
      </c>
    </row>
    <row r="45" spans="1:10" x14ac:dyDescent="0.3">
      <c r="A45" s="1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2" t="s">
        <v>947</v>
      </c>
      <c r="I45" s="2" t="s">
        <v>920</v>
      </c>
      <c r="J45" s="2" t="s">
        <v>945</v>
      </c>
    </row>
    <row r="46" spans="1:10" x14ac:dyDescent="0.3">
      <c r="A46" s="1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2" t="s">
        <v>948</v>
      </c>
      <c r="I46" s="2" t="s">
        <v>949</v>
      </c>
      <c r="J46" s="2" t="s">
        <v>950</v>
      </c>
    </row>
    <row r="47" spans="1:10" x14ac:dyDescent="0.3">
      <c r="A47" s="1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2" t="s">
        <v>948</v>
      </c>
      <c r="I47" s="2" t="s">
        <v>949</v>
      </c>
      <c r="J47" s="2" t="s">
        <v>950</v>
      </c>
    </row>
    <row r="48" spans="1:10" x14ac:dyDescent="0.3">
      <c r="A48" s="1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2" t="s">
        <v>951</v>
      </c>
      <c r="I48" s="2" t="s">
        <v>940</v>
      </c>
      <c r="J48" s="2" t="s">
        <v>921</v>
      </c>
    </row>
    <row r="49" spans="1:10" x14ac:dyDescent="0.3">
      <c r="A49" s="1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2" t="s">
        <v>951</v>
      </c>
      <c r="I49" s="2" t="s">
        <v>940</v>
      </c>
      <c r="J49" s="2" t="s">
        <v>921</v>
      </c>
    </row>
    <row r="50" spans="1:10" x14ac:dyDescent="0.3">
      <c r="A50" s="1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2" t="s">
        <v>952</v>
      </c>
      <c r="I50" s="2" t="s">
        <v>953</v>
      </c>
      <c r="J50" s="2" t="s">
        <v>954</v>
      </c>
    </row>
    <row r="51" spans="1:10" x14ac:dyDescent="0.3">
      <c r="A51" s="1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2" t="s">
        <v>952</v>
      </c>
      <c r="I51" s="2" t="s">
        <v>953</v>
      </c>
      <c r="J51" s="2" t="s">
        <v>954</v>
      </c>
    </row>
    <row r="52" spans="1:10" x14ac:dyDescent="0.3">
      <c r="A52" s="1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2" t="s">
        <v>955</v>
      </c>
      <c r="I52" s="2"/>
      <c r="J52" s="2" t="s">
        <v>956</v>
      </c>
    </row>
    <row r="53" spans="1:10" x14ac:dyDescent="0.3">
      <c r="A53" s="1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2" t="s">
        <v>955</v>
      </c>
      <c r="I53" s="2"/>
      <c r="J53" s="2" t="s">
        <v>956</v>
      </c>
    </row>
    <row r="54" spans="1:10" x14ac:dyDescent="0.3">
      <c r="A54" s="1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2" t="s">
        <v>922</v>
      </c>
      <c r="I54" s="2" t="s">
        <v>934</v>
      </c>
      <c r="J54" s="2" t="s">
        <v>926</v>
      </c>
    </row>
    <row r="55" spans="1:10" x14ac:dyDescent="0.3">
      <c r="A55" s="1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2" t="s">
        <v>922</v>
      </c>
      <c r="I55" s="2" t="s">
        <v>934</v>
      </c>
      <c r="J55" s="2" t="s">
        <v>926</v>
      </c>
    </row>
    <row r="56" spans="1:10" x14ac:dyDescent="0.3">
      <c r="A56" s="1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2" t="s">
        <v>948</v>
      </c>
      <c r="I56" s="2" t="s">
        <v>957</v>
      </c>
      <c r="J56" s="2" t="s">
        <v>958</v>
      </c>
    </row>
    <row r="57" spans="1:10" x14ac:dyDescent="0.3">
      <c r="A57" s="1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2" t="s">
        <v>948</v>
      </c>
      <c r="I57" s="2" t="s">
        <v>957</v>
      </c>
      <c r="J57" s="2" t="s">
        <v>958</v>
      </c>
    </row>
    <row r="58" spans="1:10" x14ac:dyDescent="0.3">
      <c r="A58" s="1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2" t="s">
        <v>959</v>
      </c>
      <c r="I58" s="2" t="s">
        <v>960</v>
      </c>
      <c r="J58" s="2" t="s">
        <v>924</v>
      </c>
    </row>
    <row r="59" spans="1:10" x14ac:dyDescent="0.3">
      <c r="A59" s="1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2" t="s">
        <v>959</v>
      </c>
      <c r="I59" s="2" t="s">
        <v>960</v>
      </c>
      <c r="J59" s="2" t="s">
        <v>924</v>
      </c>
    </row>
    <row r="60" spans="1:10" x14ac:dyDescent="0.3">
      <c r="A60" s="1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2" t="s">
        <v>961</v>
      </c>
      <c r="I60" s="2" t="s">
        <v>962</v>
      </c>
      <c r="J60" s="2" t="s">
        <v>954</v>
      </c>
    </row>
    <row r="61" spans="1:10" x14ac:dyDescent="0.3">
      <c r="A61" s="1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2" t="s">
        <v>961</v>
      </c>
      <c r="I61" s="2" t="s">
        <v>962</v>
      </c>
      <c r="J61" s="2" t="s">
        <v>954</v>
      </c>
    </row>
    <row r="62" spans="1:10" x14ac:dyDescent="0.3">
      <c r="A62" s="1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2" t="s">
        <v>963</v>
      </c>
      <c r="I62" s="2" t="s">
        <v>957</v>
      </c>
      <c r="J62" s="2" t="s">
        <v>934</v>
      </c>
    </row>
    <row r="63" spans="1:10" x14ac:dyDescent="0.3">
      <c r="A63" s="1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2" t="s">
        <v>963</v>
      </c>
      <c r="I63" s="2" t="s">
        <v>957</v>
      </c>
      <c r="J63" s="2" t="s">
        <v>934</v>
      </c>
    </row>
    <row r="64" spans="1:10" x14ac:dyDescent="0.3">
      <c r="A64" s="1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2" t="s">
        <v>964</v>
      </c>
      <c r="I64" s="2" t="s">
        <v>957</v>
      </c>
      <c r="J64" s="2" t="s">
        <v>965</v>
      </c>
    </row>
    <row r="65" spans="1:10" x14ac:dyDescent="0.3">
      <c r="A65" s="1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2" t="s">
        <v>964</v>
      </c>
      <c r="I65" s="2" t="s">
        <v>957</v>
      </c>
      <c r="J65" s="2" t="s">
        <v>965</v>
      </c>
    </row>
    <row r="66" spans="1:10" x14ac:dyDescent="0.3">
      <c r="A66" s="1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2" t="s">
        <v>966</v>
      </c>
      <c r="I66" s="2" t="s">
        <v>920</v>
      </c>
      <c r="J66" s="2" t="s">
        <v>921</v>
      </c>
    </row>
    <row r="67" spans="1:10" x14ac:dyDescent="0.3">
      <c r="A67" s="1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2" t="s">
        <v>966</v>
      </c>
      <c r="I67" s="2" t="s">
        <v>920</v>
      </c>
      <c r="J67" s="2" t="s">
        <v>921</v>
      </c>
    </row>
    <row r="68" spans="1:10" x14ac:dyDescent="0.3">
      <c r="A68" s="1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2" t="s">
        <v>967</v>
      </c>
      <c r="I68" s="2" t="s">
        <v>12</v>
      </c>
      <c r="J68" s="2" t="s">
        <v>911</v>
      </c>
    </row>
    <row r="69" spans="1:10" x14ac:dyDescent="0.3">
      <c r="A69" s="1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2" t="s">
        <v>967</v>
      </c>
      <c r="I69" s="2" t="s">
        <v>12</v>
      </c>
      <c r="J69" s="2" t="s">
        <v>911</v>
      </c>
    </row>
    <row r="70" spans="1:10" x14ac:dyDescent="0.3">
      <c r="A70" s="1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2" t="s">
        <v>929</v>
      </c>
      <c r="I70" s="2" t="s">
        <v>910</v>
      </c>
      <c r="J70" s="2" t="s">
        <v>913</v>
      </c>
    </row>
    <row r="71" spans="1:10" x14ac:dyDescent="0.3">
      <c r="A71" s="1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2" t="s">
        <v>929</v>
      </c>
      <c r="I71" s="2" t="s">
        <v>910</v>
      </c>
      <c r="J71" s="2" t="s">
        <v>913</v>
      </c>
    </row>
    <row r="72" spans="1:10" x14ac:dyDescent="0.3">
      <c r="A72" s="1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2" t="s">
        <v>912</v>
      </c>
      <c r="I72" s="2" t="s">
        <v>920</v>
      </c>
      <c r="J72" s="2" t="s">
        <v>913</v>
      </c>
    </row>
    <row r="73" spans="1:10" x14ac:dyDescent="0.3">
      <c r="A73" s="1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2" t="s">
        <v>912</v>
      </c>
      <c r="I73" s="2" t="s">
        <v>920</v>
      </c>
      <c r="J73" s="2" t="s">
        <v>913</v>
      </c>
    </row>
    <row r="74" spans="1:10" x14ac:dyDescent="0.3">
      <c r="A74" s="1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2" t="s">
        <v>968</v>
      </c>
      <c r="I74" s="2" t="s">
        <v>12</v>
      </c>
      <c r="J74" s="2" t="s">
        <v>911</v>
      </c>
    </row>
    <row r="75" spans="1:10" x14ac:dyDescent="0.3">
      <c r="A75" s="1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2" t="s">
        <v>968</v>
      </c>
      <c r="I75" s="2" t="s">
        <v>12</v>
      </c>
      <c r="J75" s="2" t="s">
        <v>911</v>
      </c>
    </row>
    <row r="76" spans="1:10" x14ac:dyDescent="0.3">
      <c r="A76" s="1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2" t="s">
        <v>969</v>
      </c>
      <c r="I76" s="2" t="s">
        <v>960</v>
      </c>
      <c r="J76" s="2" t="s">
        <v>937</v>
      </c>
    </row>
    <row r="77" spans="1:10" x14ac:dyDescent="0.3">
      <c r="A77" s="1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2" t="s">
        <v>969</v>
      </c>
      <c r="I77" s="2" t="s">
        <v>960</v>
      </c>
      <c r="J77" s="2" t="s">
        <v>937</v>
      </c>
    </row>
    <row r="78" spans="1:10" x14ac:dyDescent="0.3">
      <c r="A78" s="1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2" t="s">
        <v>952</v>
      </c>
      <c r="I78" s="2" t="s">
        <v>12</v>
      </c>
      <c r="J78" s="2" t="s">
        <v>921</v>
      </c>
    </row>
    <row r="79" spans="1:10" x14ac:dyDescent="0.3">
      <c r="A79" s="1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2" t="s">
        <v>952</v>
      </c>
      <c r="I79" s="2" t="s">
        <v>12</v>
      </c>
      <c r="J79" s="2" t="s">
        <v>921</v>
      </c>
    </row>
    <row r="80" spans="1:10" x14ac:dyDescent="0.3">
      <c r="A80" s="1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2" t="s">
        <v>970</v>
      </c>
      <c r="I80" s="2" t="s">
        <v>920</v>
      </c>
      <c r="J80" s="2" t="s">
        <v>971</v>
      </c>
    </row>
    <row r="81" spans="1:10" x14ac:dyDescent="0.3">
      <c r="A81" s="1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2" t="s">
        <v>970</v>
      </c>
      <c r="I81" s="2" t="s">
        <v>920</v>
      </c>
      <c r="J81" s="2" t="s">
        <v>971</v>
      </c>
    </row>
    <row r="82" spans="1:10" x14ac:dyDescent="0.3">
      <c r="A82" s="1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2" t="s">
        <v>972</v>
      </c>
      <c r="I82" s="2" t="s">
        <v>12</v>
      </c>
      <c r="J82" s="2" t="s">
        <v>913</v>
      </c>
    </row>
    <row r="83" spans="1:10" x14ac:dyDescent="0.3">
      <c r="A83" s="1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2" t="s">
        <v>972</v>
      </c>
      <c r="I83" s="2" t="s">
        <v>12</v>
      </c>
      <c r="J83" s="2" t="s">
        <v>913</v>
      </c>
    </row>
    <row r="84" spans="1:10" x14ac:dyDescent="0.3">
      <c r="A84" s="1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2" t="s">
        <v>21</v>
      </c>
      <c r="I84" s="2" t="s">
        <v>973</v>
      </c>
      <c r="J84" s="2" t="s">
        <v>945</v>
      </c>
    </row>
    <row r="85" spans="1:10" x14ac:dyDescent="0.3">
      <c r="A85" s="1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2" t="s">
        <v>21</v>
      </c>
      <c r="I85" s="2" t="s">
        <v>973</v>
      </c>
      <c r="J85" s="2" t="s">
        <v>945</v>
      </c>
    </row>
    <row r="86" spans="1:10" x14ac:dyDescent="0.3">
      <c r="A86" s="1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2" t="s">
        <v>462</v>
      </c>
      <c r="I86" s="2" t="s">
        <v>910</v>
      </c>
      <c r="J86" s="2" t="s">
        <v>926</v>
      </c>
    </row>
    <row r="87" spans="1:10" x14ac:dyDescent="0.3">
      <c r="A87" s="1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2" t="s">
        <v>462</v>
      </c>
      <c r="I87" s="2" t="s">
        <v>910</v>
      </c>
      <c r="J87" s="2" t="s">
        <v>926</v>
      </c>
    </row>
    <row r="88" spans="1:10" x14ac:dyDescent="0.3">
      <c r="A88" s="1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2" t="s">
        <v>974</v>
      </c>
      <c r="I88" s="2" t="s">
        <v>926</v>
      </c>
      <c r="J88" s="2" t="s">
        <v>934</v>
      </c>
    </row>
    <row r="89" spans="1:10" x14ac:dyDescent="0.3">
      <c r="A89" s="1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2" t="s">
        <v>974</v>
      </c>
      <c r="I89" s="2" t="s">
        <v>926</v>
      </c>
      <c r="J89" s="2" t="s">
        <v>934</v>
      </c>
    </row>
    <row r="90" spans="1:10" x14ac:dyDescent="0.3">
      <c r="A90" s="1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2" t="s">
        <v>967</v>
      </c>
      <c r="I90" s="2" t="s">
        <v>973</v>
      </c>
      <c r="J90" s="2" t="s">
        <v>913</v>
      </c>
    </row>
    <row r="91" spans="1:10" x14ac:dyDescent="0.3">
      <c r="A91" s="1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2" t="s">
        <v>967</v>
      </c>
      <c r="I91" s="2" t="s">
        <v>973</v>
      </c>
      <c r="J91" s="2" t="s">
        <v>913</v>
      </c>
    </row>
    <row r="92" spans="1:10" x14ac:dyDescent="0.3">
      <c r="A92" s="1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2" t="s">
        <v>912</v>
      </c>
      <c r="I92" s="2" t="s">
        <v>958</v>
      </c>
      <c r="J92" s="2" t="s">
        <v>926</v>
      </c>
    </row>
    <row r="93" spans="1:10" x14ac:dyDescent="0.3">
      <c r="A93" s="1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2" t="s">
        <v>912</v>
      </c>
      <c r="I93" s="2" t="s">
        <v>958</v>
      </c>
      <c r="J93" s="2" t="s">
        <v>926</v>
      </c>
    </row>
    <row r="94" spans="1:10" x14ac:dyDescent="0.3">
      <c r="A94" s="1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2" t="s">
        <v>909</v>
      </c>
      <c r="I94" s="2" t="s">
        <v>975</v>
      </c>
      <c r="J94" s="2" t="s">
        <v>954</v>
      </c>
    </row>
    <row r="95" spans="1:10" x14ac:dyDescent="0.3">
      <c r="A95" s="1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2" t="s">
        <v>909</v>
      </c>
      <c r="I95" s="2" t="s">
        <v>975</v>
      </c>
      <c r="J95" s="2" t="s">
        <v>954</v>
      </c>
    </row>
    <row r="96" spans="1:10" x14ac:dyDescent="0.3">
      <c r="A96" s="1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2" t="s">
        <v>976</v>
      </c>
      <c r="I96" s="2" t="s">
        <v>376</v>
      </c>
      <c r="J96" s="2" t="s">
        <v>926</v>
      </c>
    </row>
    <row r="97" spans="1:10" x14ac:dyDescent="0.3">
      <c r="A97" s="1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2" t="s">
        <v>976</v>
      </c>
      <c r="I97" s="2" t="s">
        <v>376</v>
      </c>
      <c r="J97" s="2" t="s">
        <v>926</v>
      </c>
    </row>
    <row r="98" spans="1:10" x14ac:dyDescent="0.3">
      <c r="A98" s="1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2" t="s">
        <v>977</v>
      </c>
      <c r="I98" s="2" t="s">
        <v>12</v>
      </c>
      <c r="J98" s="2" t="s">
        <v>978</v>
      </c>
    </row>
    <row r="99" spans="1:10" x14ac:dyDescent="0.3">
      <c r="A99" s="1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2" t="s">
        <v>977</v>
      </c>
      <c r="I99" s="2" t="s">
        <v>12</v>
      </c>
      <c r="J99" s="2" t="s">
        <v>978</v>
      </c>
    </row>
    <row r="100" spans="1:10" x14ac:dyDescent="0.3">
      <c r="A100" s="1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2" t="s">
        <v>966</v>
      </c>
      <c r="I100" s="2" t="s">
        <v>979</v>
      </c>
      <c r="J100" s="2" t="s">
        <v>956</v>
      </c>
    </row>
    <row r="101" spans="1:10" x14ac:dyDescent="0.3">
      <c r="A101" s="1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2" t="s">
        <v>966</v>
      </c>
      <c r="I101" s="2" t="s">
        <v>979</v>
      </c>
      <c r="J101" s="2" t="s">
        <v>956</v>
      </c>
    </row>
    <row r="102" spans="1:10" x14ac:dyDescent="0.3">
      <c r="A102" s="1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2" t="s">
        <v>980</v>
      </c>
      <c r="I102" s="2" t="s">
        <v>376</v>
      </c>
      <c r="J102" s="2" t="s">
        <v>918</v>
      </c>
    </row>
    <row r="103" spans="1:10" x14ac:dyDescent="0.3">
      <c r="A103" s="1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2" t="s">
        <v>980</v>
      </c>
      <c r="I103" s="2" t="s">
        <v>376</v>
      </c>
      <c r="J103" s="2" t="s">
        <v>918</v>
      </c>
    </row>
    <row r="104" spans="1:10" x14ac:dyDescent="0.3">
      <c r="A104" s="1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2" t="s">
        <v>981</v>
      </c>
      <c r="I104" s="2" t="s">
        <v>376</v>
      </c>
      <c r="J104" s="2" t="s">
        <v>940</v>
      </c>
    </row>
    <row r="105" spans="1:10" x14ac:dyDescent="0.3">
      <c r="A105" s="1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2" t="s">
        <v>981</v>
      </c>
      <c r="I105" s="2" t="s">
        <v>376</v>
      </c>
      <c r="J105" s="2" t="s">
        <v>940</v>
      </c>
    </row>
    <row r="106" spans="1:10" x14ac:dyDescent="0.3">
      <c r="A106" s="1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2" t="s">
        <v>982</v>
      </c>
      <c r="I106" s="2" t="s">
        <v>916</v>
      </c>
      <c r="J106" s="2" t="s">
        <v>911</v>
      </c>
    </row>
    <row r="107" spans="1:10" x14ac:dyDescent="0.3">
      <c r="A107" s="1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2" t="s">
        <v>982</v>
      </c>
      <c r="I107" s="2" t="s">
        <v>916</v>
      </c>
      <c r="J107" s="2" t="s">
        <v>911</v>
      </c>
    </row>
    <row r="108" spans="1:10" x14ac:dyDescent="0.3">
      <c r="A108" s="1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2" t="s">
        <v>914</v>
      </c>
      <c r="I108" s="2" t="s">
        <v>12</v>
      </c>
      <c r="J108" s="2" t="s">
        <v>958</v>
      </c>
    </row>
    <row r="109" spans="1:10" x14ac:dyDescent="0.3">
      <c r="A109" s="1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2" t="s">
        <v>914</v>
      </c>
      <c r="I109" s="2" t="s">
        <v>12</v>
      </c>
      <c r="J109" s="2" t="s">
        <v>958</v>
      </c>
    </row>
    <row r="110" spans="1:10" x14ac:dyDescent="0.3">
      <c r="A110" s="1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2" t="s">
        <v>983</v>
      </c>
      <c r="I110" s="2"/>
      <c r="J110" s="2" t="s">
        <v>954</v>
      </c>
    </row>
    <row r="111" spans="1:10" x14ac:dyDescent="0.3">
      <c r="A111" s="1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2" t="s">
        <v>983</v>
      </c>
      <c r="I111" s="2"/>
      <c r="J111" s="2" t="s">
        <v>954</v>
      </c>
    </row>
    <row r="112" spans="1:10" x14ac:dyDescent="0.3">
      <c r="A112" s="1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2" t="s">
        <v>984</v>
      </c>
      <c r="I112" s="2" t="s">
        <v>12</v>
      </c>
      <c r="J112" s="2" t="s">
        <v>945</v>
      </c>
    </row>
    <row r="113" spans="1:10" x14ac:dyDescent="0.3">
      <c r="A113" s="1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2" t="s">
        <v>984</v>
      </c>
      <c r="I113" s="2" t="s">
        <v>12</v>
      </c>
      <c r="J113" s="2" t="s">
        <v>945</v>
      </c>
    </row>
    <row r="114" spans="1:10" x14ac:dyDescent="0.3">
      <c r="A114" s="1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2" t="s">
        <v>985</v>
      </c>
      <c r="I114" s="2" t="s">
        <v>956</v>
      </c>
      <c r="J114" s="2" t="s">
        <v>916</v>
      </c>
    </row>
    <row r="115" spans="1:10" x14ac:dyDescent="0.3">
      <c r="A115" s="1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2" t="s">
        <v>985</v>
      </c>
      <c r="I115" s="2" t="s">
        <v>956</v>
      </c>
      <c r="J115" s="2" t="s">
        <v>916</v>
      </c>
    </row>
    <row r="116" spans="1:10" x14ac:dyDescent="0.3">
      <c r="A116" s="1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2" t="s">
        <v>986</v>
      </c>
      <c r="I116" s="2" t="s">
        <v>910</v>
      </c>
      <c r="J116" s="2" t="s">
        <v>921</v>
      </c>
    </row>
    <row r="117" spans="1:10" x14ac:dyDescent="0.3">
      <c r="A117" s="1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2" t="s">
        <v>986</v>
      </c>
      <c r="I117" s="2" t="s">
        <v>910</v>
      </c>
      <c r="J117" s="2" t="s">
        <v>921</v>
      </c>
    </row>
    <row r="118" spans="1:10" x14ac:dyDescent="0.3">
      <c r="A118" s="1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2" t="s">
        <v>987</v>
      </c>
      <c r="I118" s="2" t="s">
        <v>988</v>
      </c>
      <c r="J118" s="2" t="s">
        <v>913</v>
      </c>
    </row>
    <row r="119" spans="1:10" x14ac:dyDescent="0.3">
      <c r="A119" s="1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2" t="s">
        <v>987</v>
      </c>
      <c r="I119" s="2" t="s">
        <v>988</v>
      </c>
      <c r="J119" s="2" t="s">
        <v>913</v>
      </c>
    </row>
    <row r="120" spans="1:10" x14ac:dyDescent="0.3">
      <c r="A120" s="1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2" t="s">
        <v>980</v>
      </c>
      <c r="I120" s="2" t="s">
        <v>920</v>
      </c>
      <c r="J120" s="2" t="s">
        <v>940</v>
      </c>
    </row>
    <row r="121" spans="1:10" x14ac:dyDescent="0.3">
      <c r="A121" s="1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2" t="s">
        <v>980</v>
      </c>
      <c r="I121" s="2" t="s">
        <v>920</v>
      </c>
      <c r="J121" s="2" t="s">
        <v>940</v>
      </c>
    </row>
    <row r="122" spans="1:10" x14ac:dyDescent="0.3">
      <c r="A122" s="1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2" t="s">
        <v>989</v>
      </c>
      <c r="I122" s="2" t="s">
        <v>12</v>
      </c>
      <c r="J122" s="2" t="s">
        <v>916</v>
      </c>
    </row>
    <row r="123" spans="1:10" x14ac:dyDescent="0.3">
      <c r="A123" s="1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2" t="s">
        <v>989</v>
      </c>
      <c r="I123" s="2" t="s">
        <v>12</v>
      </c>
      <c r="J123" s="2" t="s">
        <v>916</v>
      </c>
    </row>
    <row r="124" spans="1:10" x14ac:dyDescent="0.3">
      <c r="A124" s="1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2" t="s">
        <v>990</v>
      </c>
      <c r="I124" s="2" t="s">
        <v>911</v>
      </c>
      <c r="J124" s="2" t="s">
        <v>956</v>
      </c>
    </row>
    <row r="125" spans="1:10" x14ac:dyDescent="0.3">
      <c r="A125" s="1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2" t="s">
        <v>990</v>
      </c>
      <c r="I125" s="2" t="s">
        <v>911</v>
      </c>
      <c r="J125" s="2" t="s">
        <v>956</v>
      </c>
    </row>
    <row r="126" spans="1:10" x14ac:dyDescent="0.3">
      <c r="A126" s="1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2" t="s">
        <v>984</v>
      </c>
      <c r="I126" s="2" t="s">
        <v>916</v>
      </c>
      <c r="J126" s="2" t="s">
        <v>991</v>
      </c>
    </row>
    <row r="127" spans="1:10" x14ac:dyDescent="0.3">
      <c r="A127" s="1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2" t="s">
        <v>984</v>
      </c>
      <c r="I127" s="2" t="s">
        <v>916</v>
      </c>
      <c r="J127" s="2" t="s">
        <v>991</v>
      </c>
    </row>
    <row r="128" spans="1:10" x14ac:dyDescent="0.3">
      <c r="A128" s="1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2" t="s">
        <v>992</v>
      </c>
      <c r="I128" s="2" t="s">
        <v>923</v>
      </c>
      <c r="J128" s="2" t="s">
        <v>940</v>
      </c>
    </row>
    <row r="129" spans="1:10" x14ac:dyDescent="0.3">
      <c r="A129" s="1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2" t="s">
        <v>992</v>
      </c>
      <c r="I129" s="2" t="s">
        <v>923</v>
      </c>
      <c r="J129" s="2" t="s">
        <v>940</v>
      </c>
    </row>
    <row r="130" spans="1:10" x14ac:dyDescent="0.3">
      <c r="A130" s="1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2" t="s">
        <v>970</v>
      </c>
      <c r="I130" s="2" t="s">
        <v>12</v>
      </c>
      <c r="J130" s="2" t="s">
        <v>926</v>
      </c>
    </row>
    <row r="131" spans="1:10" x14ac:dyDescent="0.3">
      <c r="A131" s="1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2" t="s">
        <v>970</v>
      </c>
      <c r="I131" s="2" t="s">
        <v>12</v>
      </c>
      <c r="J131" s="2" t="s">
        <v>926</v>
      </c>
    </row>
    <row r="132" spans="1:10" x14ac:dyDescent="0.3">
      <c r="A132" s="1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2" t="s">
        <v>993</v>
      </c>
      <c r="I132" s="2" t="s">
        <v>12</v>
      </c>
      <c r="J132" s="2" t="s">
        <v>973</v>
      </c>
    </row>
    <row r="133" spans="1:10" x14ac:dyDescent="0.3">
      <c r="A133" s="1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2" t="s">
        <v>993</v>
      </c>
      <c r="I133" s="2" t="s">
        <v>12</v>
      </c>
      <c r="J133" s="2" t="s">
        <v>973</v>
      </c>
    </row>
    <row r="134" spans="1:10" x14ac:dyDescent="0.3">
      <c r="A134" s="1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2" t="s">
        <v>946</v>
      </c>
      <c r="I134" s="2" t="s">
        <v>994</v>
      </c>
      <c r="J134" s="2" t="s">
        <v>926</v>
      </c>
    </row>
    <row r="135" spans="1:10" x14ac:dyDescent="0.3">
      <c r="A135" s="1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2" t="s">
        <v>946</v>
      </c>
      <c r="I135" s="2" t="s">
        <v>994</v>
      </c>
      <c r="J135" s="2" t="s">
        <v>926</v>
      </c>
    </row>
    <row r="136" spans="1:10" x14ac:dyDescent="0.3">
      <c r="A136" s="1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2" t="s">
        <v>995</v>
      </c>
      <c r="I136" s="2" t="s">
        <v>996</v>
      </c>
      <c r="J136" s="2" t="s">
        <v>927</v>
      </c>
    </row>
    <row r="137" spans="1:10" x14ac:dyDescent="0.3">
      <c r="A137" s="1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2" t="s">
        <v>995</v>
      </c>
      <c r="I137" s="2" t="s">
        <v>996</v>
      </c>
      <c r="J137" s="2" t="s">
        <v>927</v>
      </c>
    </row>
    <row r="138" spans="1:10" x14ac:dyDescent="0.3">
      <c r="A138" s="1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2" t="s">
        <v>983</v>
      </c>
      <c r="I138" s="2" t="s">
        <v>934</v>
      </c>
      <c r="J138" s="2" t="s">
        <v>940</v>
      </c>
    </row>
    <row r="139" spans="1:10" x14ac:dyDescent="0.3">
      <c r="A139" s="1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2" t="s">
        <v>983</v>
      </c>
      <c r="I139" s="2" t="s">
        <v>934</v>
      </c>
      <c r="J139" s="2" t="s">
        <v>940</v>
      </c>
    </row>
    <row r="140" spans="1:10" x14ac:dyDescent="0.3">
      <c r="A140" s="1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2" t="s">
        <v>931</v>
      </c>
      <c r="I140" s="2" t="s">
        <v>997</v>
      </c>
      <c r="J140" s="2" t="s">
        <v>940</v>
      </c>
    </row>
    <row r="141" spans="1:10" x14ac:dyDescent="0.3">
      <c r="A141" s="1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2" t="s">
        <v>931</v>
      </c>
      <c r="I141" s="2" t="s">
        <v>997</v>
      </c>
      <c r="J141" s="2" t="s">
        <v>940</v>
      </c>
    </row>
    <row r="142" spans="1:10" x14ac:dyDescent="0.3">
      <c r="A142" s="1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2" t="s">
        <v>963</v>
      </c>
      <c r="I142" s="2" t="s">
        <v>998</v>
      </c>
      <c r="J142" s="2" t="s">
        <v>940</v>
      </c>
    </row>
    <row r="143" spans="1:10" x14ac:dyDescent="0.3">
      <c r="A143" s="1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2" t="s">
        <v>963</v>
      </c>
      <c r="I143" s="2" t="s">
        <v>998</v>
      </c>
      <c r="J143" s="2" t="s">
        <v>940</v>
      </c>
    </row>
    <row r="144" spans="1:10" x14ac:dyDescent="0.3">
      <c r="A144" s="1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2" t="s">
        <v>999</v>
      </c>
      <c r="I144" s="2" t="s">
        <v>1000</v>
      </c>
      <c r="J144" s="2" t="s">
        <v>935</v>
      </c>
    </row>
    <row r="145" spans="1:10" x14ac:dyDescent="0.3">
      <c r="A145" s="1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2" t="s">
        <v>999</v>
      </c>
      <c r="I145" s="2" t="s">
        <v>1000</v>
      </c>
      <c r="J145" s="2" t="s">
        <v>935</v>
      </c>
    </row>
    <row r="146" spans="1:10" x14ac:dyDescent="0.3">
      <c r="A146" s="1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2" t="s">
        <v>981</v>
      </c>
      <c r="I146" s="2" t="s">
        <v>12</v>
      </c>
      <c r="J146" s="2" t="s">
        <v>940</v>
      </c>
    </row>
    <row r="147" spans="1:10" x14ac:dyDescent="0.3">
      <c r="A147" s="1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2" t="s">
        <v>981</v>
      </c>
      <c r="I147" s="2" t="s">
        <v>12</v>
      </c>
      <c r="J147" s="2" t="s">
        <v>940</v>
      </c>
    </row>
    <row r="148" spans="1:10" x14ac:dyDescent="0.3">
      <c r="A148" s="1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2" t="s">
        <v>977</v>
      </c>
      <c r="I148" s="2" t="s">
        <v>12</v>
      </c>
      <c r="J148" s="2" t="s">
        <v>911</v>
      </c>
    </row>
    <row r="149" spans="1:10" x14ac:dyDescent="0.3">
      <c r="A149" s="1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2" t="s">
        <v>977</v>
      </c>
      <c r="I149" s="2" t="s">
        <v>12</v>
      </c>
      <c r="J149" s="2" t="s">
        <v>911</v>
      </c>
    </row>
    <row r="150" spans="1:10" x14ac:dyDescent="0.3">
      <c r="A150" s="1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2" t="s">
        <v>931</v>
      </c>
      <c r="I150" s="2" t="s">
        <v>921</v>
      </c>
      <c r="J150" s="2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CD73-3B2C-49DF-A557-51ECB7957EE6}">
  <sheetPr codeName="Sheet4"/>
  <dimension ref="A1:G150"/>
  <sheetViews>
    <sheetView workbookViewId="0">
      <selection activeCell="N10" sqref="N10"/>
    </sheetView>
  </sheetViews>
  <sheetFormatPr defaultRowHeight="14.4" x14ac:dyDescent="0.3"/>
  <cols>
    <col min="1" max="1" width="28.33203125" customWidth="1"/>
    <col min="2" max="2" width="14" customWidth="1"/>
    <col min="3" max="3" width="32.6640625" customWidth="1"/>
    <col min="4" max="5" width="16.88671875" customWidth="1"/>
    <col min="6" max="6" width="17.109375" customWidth="1"/>
    <col min="7" max="7" width="18.88671875" bestFit="1" customWidth="1"/>
  </cols>
  <sheetData>
    <row r="1" spans="1:7" s="8" customFormat="1" x14ac:dyDescent="0.3">
      <c r="A1" s="7" t="s">
        <v>0</v>
      </c>
      <c r="B1" s="7" t="s">
        <v>1001</v>
      </c>
      <c r="C1" s="7" t="s">
        <v>1002</v>
      </c>
      <c r="D1" s="7" t="s">
        <v>1003</v>
      </c>
      <c r="E1" s="7" t="s">
        <v>8</v>
      </c>
      <c r="F1" s="7" t="s">
        <v>598</v>
      </c>
      <c r="G1" s="7" t="s">
        <v>1004</v>
      </c>
    </row>
    <row r="2" spans="1:7" x14ac:dyDescent="0.3">
      <c r="A2" t="str">
        <f>Break!A2</f>
        <v>Mum_Abdul Hamid (1008512)</v>
      </c>
      <c r="B2" s="9" t="str">
        <f>MID(A2,FIND("_",A2,1)+1,FIND("(",A2,1)-FIND("_",A2,1)-2)</f>
        <v>Abdul Hamid</v>
      </c>
      <c r="C2" s="10">
        <f t="shared" ref="C2:C33" si="0">TIMEVALUE(VLOOKUP(A2,EData,2,0))</f>
        <v>0.34424768518518517</v>
      </c>
      <c r="D2" s="10">
        <f t="shared" ref="D2:D33" si="1">TIMEVALUE(VLOOKUP(A2,EData,3,0))</f>
        <v>0.20693287037037036</v>
      </c>
      <c r="E2" s="10">
        <f t="shared" ref="E2:E33" si="2">TIMEVALUE(VLOOKUP(A2,BData,9,0))</f>
        <v>4.7708333333333332E-2</v>
      </c>
      <c r="F2" s="11">
        <f t="shared" ref="F2:F33" si="3">VLOOKUP(A2,PData,2,0)</f>
        <v>98</v>
      </c>
      <c r="G2" s="12">
        <f t="shared" ref="G2:G33" si="4">VLOOKUP(A2,EData,6,0)</f>
        <v>0.55697138822580095</v>
      </c>
    </row>
    <row r="3" spans="1:7" x14ac:dyDescent="0.3">
      <c r="A3" t="str">
        <f>Break!A3</f>
        <v>Mum_Afzal Husain (1008513)</v>
      </c>
      <c r="B3" s="9" t="str">
        <f t="shared" ref="B3:B66" si="5">MID(A3,FIND("_",A3,1)+1,FIND("(",A3,1)-FIND("_",A3,1)-2)</f>
        <v>Afzal Husain</v>
      </c>
      <c r="C3" s="10">
        <f t="shared" si="0"/>
        <v>0.34416666666666668</v>
      </c>
      <c r="D3" s="10">
        <f t="shared" si="1"/>
        <v>0.20733796296296297</v>
      </c>
      <c r="E3" s="10">
        <f t="shared" si="2"/>
        <v>4.8599537037037038E-2</v>
      </c>
      <c r="F3" s="11">
        <f t="shared" si="3"/>
        <v>23</v>
      </c>
      <c r="G3" s="12">
        <f t="shared" si="4"/>
        <v>0.58027306967984904</v>
      </c>
    </row>
    <row r="4" spans="1:7" x14ac:dyDescent="0.3">
      <c r="A4" t="str">
        <f>Break!A4</f>
        <v>Mum_Anamika Gupta (1008514)</v>
      </c>
      <c r="B4" s="9" t="str">
        <f t="shared" si="5"/>
        <v>Anamika Gupta</v>
      </c>
      <c r="C4" s="10">
        <f t="shared" si="0"/>
        <v>0.34510416666666666</v>
      </c>
      <c r="D4" s="10">
        <f t="shared" si="1"/>
        <v>0.20109953703703703</v>
      </c>
      <c r="E4" s="10">
        <f t="shared" si="2"/>
        <v>5.1319444444444445E-2</v>
      </c>
      <c r="F4" s="11">
        <f t="shared" si="3"/>
        <v>28</v>
      </c>
      <c r="G4" s="12">
        <f t="shared" si="4"/>
        <v>0.51708756749505302</v>
      </c>
    </row>
    <row r="5" spans="1:7" x14ac:dyDescent="0.3">
      <c r="A5" t="str">
        <f>Break!A5</f>
        <v>Mum_Anikuttan (1008515)</v>
      </c>
      <c r="B5" s="9" t="str">
        <f t="shared" si="5"/>
        <v>Anikuttan</v>
      </c>
      <c r="C5" s="10">
        <f t="shared" si="0"/>
        <v>0.34023148148148147</v>
      </c>
      <c r="D5" s="10">
        <f t="shared" si="1"/>
        <v>0.17884259259259258</v>
      </c>
      <c r="E5" s="10">
        <f t="shared" si="2"/>
        <v>9.6550925925925929E-2</v>
      </c>
      <c r="F5" s="11">
        <f t="shared" si="3"/>
        <v>29</v>
      </c>
      <c r="G5" s="12">
        <f t="shared" si="4"/>
        <v>0.47720778337188702</v>
      </c>
    </row>
    <row r="6" spans="1:7" x14ac:dyDescent="0.3">
      <c r="A6" t="str">
        <f>Break!A6</f>
        <v>Mum_Anil Kumar (1008516)</v>
      </c>
      <c r="B6" s="9" t="str">
        <f t="shared" si="5"/>
        <v>Anil Kumar</v>
      </c>
      <c r="C6" s="10">
        <f t="shared" si="0"/>
        <v>0.30603009259259262</v>
      </c>
      <c r="D6" s="10">
        <f t="shared" si="1"/>
        <v>0.13870370370370369</v>
      </c>
      <c r="E6" s="10">
        <f t="shared" si="2"/>
        <v>0.12844907407407408</v>
      </c>
      <c r="F6" s="11">
        <f t="shared" si="3"/>
        <v>93</v>
      </c>
      <c r="G6" s="12">
        <f t="shared" si="4"/>
        <v>0.43288831738587802</v>
      </c>
    </row>
    <row r="7" spans="1:7" x14ac:dyDescent="0.3">
      <c r="A7" t="str">
        <f>Break!A7</f>
        <v>Mum_Anita Dixit (1008517)</v>
      </c>
      <c r="B7" s="9" t="str">
        <f t="shared" si="5"/>
        <v>Anita Dixit</v>
      </c>
      <c r="C7" s="10">
        <f t="shared" si="0"/>
        <v>0.2084375</v>
      </c>
      <c r="D7" s="10">
        <f t="shared" si="1"/>
        <v>0.15369212962962964</v>
      </c>
      <c r="E7" s="10">
        <f t="shared" si="2"/>
        <v>1.8831018518518518E-2</v>
      </c>
      <c r="F7" s="11">
        <f t="shared" si="3"/>
        <v>92</v>
      </c>
      <c r="G7" s="12">
        <f t="shared" si="4"/>
        <v>0.65495030262646503</v>
      </c>
    </row>
    <row r="8" spans="1:7" x14ac:dyDescent="0.3">
      <c r="A8" t="str">
        <f>Break!A8</f>
        <v>Mum_Anita Ghore (1008518)</v>
      </c>
      <c r="B8" s="9" t="str">
        <f t="shared" si="5"/>
        <v>Anita Ghore</v>
      </c>
      <c r="C8" s="10">
        <f t="shared" si="0"/>
        <v>0.34488425925925925</v>
      </c>
      <c r="D8" s="10">
        <f t="shared" si="1"/>
        <v>0.17553240740740741</v>
      </c>
      <c r="E8" s="10">
        <f t="shared" si="2"/>
        <v>0.11229166666666666</v>
      </c>
      <c r="F8" s="11">
        <f t="shared" si="3"/>
        <v>26</v>
      </c>
      <c r="G8" s="12">
        <f t="shared" si="4"/>
        <v>0.49476474931203401</v>
      </c>
    </row>
    <row r="9" spans="1:7" x14ac:dyDescent="0.3">
      <c r="A9" t="str">
        <f>Break!A9</f>
        <v>Mum_Anjali Deoram (1008519)</v>
      </c>
      <c r="B9" s="9" t="str">
        <f t="shared" si="5"/>
        <v>Anjali Deoram</v>
      </c>
      <c r="C9" s="10">
        <f t="shared" si="0"/>
        <v>0.38646990740740739</v>
      </c>
      <c r="D9" s="10">
        <f t="shared" si="1"/>
        <v>0.24453703703703702</v>
      </c>
      <c r="E9" s="10">
        <f t="shared" si="2"/>
        <v>5.0810185185185187E-2</v>
      </c>
      <c r="F9" s="11">
        <f t="shared" si="3"/>
        <v>90</v>
      </c>
      <c r="G9" s="12">
        <f t="shared" si="4"/>
        <v>0.55128627474469205</v>
      </c>
    </row>
    <row r="10" spans="1:7" x14ac:dyDescent="0.3">
      <c r="A10" t="str">
        <f>Break!A10</f>
        <v>Mum_Anjali Sahay (1008520)</v>
      </c>
      <c r="B10" s="9" t="str">
        <f t="shared" si="5"/>
        <v>Anjali Sahay</v>
      </c>
      <c r="C10" s="10">
        <f t="shared" si="0"/>
        <v>0.34256944444444443</v>
      </c>
      <c r="D10" s="10">
        <f t="shared" si="1"/>
        <v>0.20311342592592593</v>
      </c>
      <c r="E10" s="10">
        <f t="shared" si="2"/>
        <v>4.628472222222222E-2</v>
      </c>
      <c r="F10" s="11">
        <f t="shared" si="3"/>
        <v>89</v>
      </c>
      <c r="G10" s="12">
        <f t="shared" si="4"/>
        <v>0.55206432867085597</v>
      </c>
    </row>
    <row r="11" spans="1:7" x14ac:dyDescent="0.3">
      <c r="A11" t="str">
        <f>Break!A11</f>
        <v>Mum_Annu Latika (1008521)</v>
      </c>
      <c r="B11" s="9" t="str">
        <f t="shared" si="5"/>
        <v>Annu Latika</v>
      </c>
      <c r="C11" s="10">
        <f t="shared" si="0"/>
        <v>0.34769675925925925</v>
      </c>
      <c r="D11" s="10">
        <f t="shared" si="1"/>
        <v>0.20702546296296295</v>
      </c>
      <c r="E11" s="10">
        <f t="shared" si="2"/>
        <v>4.8576388888888891E-2</v>
      </c>
      <c r="F11" s="11">
        <f t="shared" si="3"/>
        <v>54</v>
      </c>
      <c r="G11" s="12">
        <f t="shared" si="4"/>
        <v>0.56868945774108703</v>
      </c>
    </row>
    <row r="12" spans="1:7" x14ac:dyDescent="0.3">
      <c r="A12" t="str">
        <f>Break!A12</f>
        <v>Mum_Anoop Narayan (1008522)</v>
      </c>
      <c r="B12" s="9" t="str">
        <f t="shared" si="5"/>
        <v>Anoop Narayan</v>
      </c>
      <c r="C12" s="10">
        <f t="shared" si="0"/>
        <v>0.34068287037037037</v>
      </c>
      <c r="D12" s="10">
        <f t="shared" si="1"/>
        <v>0.20518518518518519</v>
      </c>
      <c r="E12" s="10">
        <f t="shared" si="2"/>
        <v>4.809027777777778E-2</v>
      </c>
      <c r="F12" s="11">
        <f t="shared" si="3"/>
        <v>87</v>
      </c>
      <c r="G12" s="12">
        <f t="shared" si="4"/>
        <v>0.56035332087650802</v>
      </c>
    </row>
    <row r="13" spans="1:7" x14ac:dyDescent="0.3">
      <c r="A13" t="str">
        <f>Break!A13</f>
        <v>Mum_Anoop Raj (1008523)</v>
      </c>
      <c r="B13" s="9" t="str">
        <f t="shared" si="5"/>
        <v>Anoop Raj</v>
      </c>
      <c r="C13" s="10">
        <f t="shared" si="0"/>
        <v>0.33622685185185186</v>
      </c>
      <c r="D13" s="10">
        <f t="shared" si="1"/>
        <v>0.15812499999999999</v>
      </c>
      <c r="E13" s="10">
        <f t="shared" si="2"/>
        <v>0.12590277777777778</v>
      </c>
      <c r="F13" s="11">
        <f t="shared" si="3"/>
        <v>65</v>
      </c>
      <c r="G13" s="12">
        <f t="shared" si="4"/>
        <v>0.41552495697073999</v>
      </c>
    </row>
    <row r="14" spans="1:7" x14ac:dyDescent="0.3">
      <c r="A14" t="str">
        <f>Break!A14</f>
        <v>Mum_Anubhuti Gupta (1008524)</v>
      </c>
      <c r="B14" s="9" t="str">
        <f t="shared" si="5"/>
        <v>Anubhuti Gupta</v>
      </c>
      <c r="C14" s="10">
        <f t="shared" si="0"/>
        <v>0.34349537037037037</v>
      </c>
      <c r="D14" s="10">
        <f t="shared" si="1"/>
        <v>0.19699074074074074</v>
      </c>
      <c r="E14" s="10">
        <f t="shared" si="2"/>
        <v>8.7974537037037032E-2</v>
      </c>
      <c r="F14" s="11">
        <f t="shared" si="3"/>
        <v>85</v>
      </c>
      <c r="G14" s="12">
        <f t="shared" si="4"/>
        <v>0.50026955994339195</v>
      </c>
    </row>
    <row r="15" spans="1:7" x14ac:dyDescent="0.3">
      <c r="A15" t="str">
        <f>Break!A15</f>
        <v>Mum_Arun Kumar (1008525)</v>
      </c>
      <c r="B15" s="9" t="str">
        <f t="shared" si="5"/>
        <v>Arun Kumar</v>
      </c>
      <c r="C15" s="10">
        <f t="shared" si="0"/>
        <v>0.33321759259259259</v>
      </c>
      <c r="D15" s="10">
        <f t="shared" si="1"/>
        <v>0.19475694444444444</v>
      </c>
      <c r="E15" s="10">
        <f t="shared" si="2"/>
        <v>4.9004629629629627E-2</v>
      </c>
      <c r="F15" s="11">
        <f t="shared" si="3"/>
        <v>65</v>
      </c>
      <c r="G15" s="12">
        <f t="shared" si="4"/>
        <v>0.51396318166029897</v>
      </c>
    </row>
    <row r="16" spans="1:7" x14ac:dyDescent="0.3">
      <c r="A16" t="str">
        <f>Break!A16</f>
        <v>Mum_Ashish Kumar (1008526)</v>
      </c>
      <c r="B16" s="9" t="str">
        <f t="shared" si="5"/>
        <v>Ashish Kumar</v>
      </c>
      <c r="C16" s="10">
        <f t="shared" si="0"/>
        <v>0.34512731481481479</v>
      </c>
      <c r="D16" s="10">
        <f t="shared" si="1"/>
        <v>0.2066550925925926</v>
      </c>
      <c r="E16" s="10">
        <f t="shared" si="2"/>
        <v>5.3460648148148146E-2</v>
      </c>
      <c r="F16" s="11">
        <f t="shared" si="3"/>
        <v>83</v>
      </c>
      <c r="G16" s="12">
        <f t="shared" si="4"/>
        <v>0.510580502364264</v>
      </c>
    </row>
    <row r="17" spans="1:7" x14ac:dyDescent="0.3">
      <c r="A17" t="str">
        <f>Break!A17</f>
        <v>Mum_Ashok Kumar (1008527)</v>
      </c>
      <c r="B17" s="9" t="str">
        <f t="shared" si="5"/>
        <v>Ashok Kumar</v>
      </c>
      <c r="C17" s="10">
        <f t="shared" si="0"/>
        <v>0.34531250000000002</v>
      </c>
      <c r="D17" s="10">
        <f t="shared" si="1"/>
        <v>0.17390046296296297</v>
      </c>
      <c r="E17" s="10">
        <f t="shared" si="2"/>
        <v>0.10023148148148148</v>
      </c>
      <c r="F17" s="11">
        <f t="shared" si="3"/>
        <v>82</v>
      </c>
      <c r="G17" s="12">
        <f t="shared" si="4"/>
        <v>0.48292274174627098</v>
      </c>
    </row>
    <row r="18" spans="1:7" x14ac:dyDescent="0.3">
      <c r="A18" t="str">
        <f>Break!A18</f>
        <v>Hyd_Ashok Kumar (1008528)</v>
      </c>
      <c r="B18" s="9" t="str">
        <f t="shared" si="5"/>
        <v>Ashok Kumar</v>
      </c>
      <c r="C18" s="10">
        <f t="shared" si="0"/>
        <v>0.32848379629629632</v>
      </c>
      <c r="D18" s="10">
        <f t="shared" si="1"/>
        <v>0.1973611111111111</v>
      </c>
      <c r="E18" s="10">
        <f t="shared" si="2"/>
        <v>3.9224537037037037E-2</v>
      </c>
      <c r="F18" s="11">
        <f t="shared" si="3"/>
        <v>81</v>
      </c>
      <c r="G18" s="12">
        <f t="shared" si="4"/>
        <v>0.57362319861879396</v>
      </c>
    </row>
    <row r="19" spans="1:7" x14ac:dyDescent="0.3">
      <c r="A19" t="str">
        <f>Break!A19</f>
        <v>Hyd_Ashok Kumar (1008529)</v>
      </c>
      <c r="B19" s="9" t="str">
        <f t="shared" si="5"/>
        <v>Ashok Kumar</v>
      </c>
      <c r="C19" s="10">
        <f t="shared" si="0"/>
        <v>0.34494212962962961</v>
      </c>
      <c r="D19" s="10">
        <f t="shared" si="1"/>
        <v>0.20702546296296295</v>
      </c>
      <c r="E19" s="10">
        <f t="shared" si="2"/>
        <v>4.8692129629629627E-2</v>
      </c>
      <c r="F19" s="11">
        <f t="shared" si="3"/>
        <v>80</v>
      </c>
      <c r="G19" s="12">
        <f t="shared" si="4"/>
        <v>0.56430560681810604</v>
      </c>
    </row>
    <row r="20" spans="1:7" x14ac:dyDescent="0.3">
      <c r="A20" t="str">
        <f>Break!A20</f>
        <v>Hyd_Ashok Kumar (1008530)</v>
      </c>
      <c r="B20" s="9" t="str">
        <f t="shared" si="5"/>
        <v>Ashok Kumar</v>
      </c>
      <c r="C20" s="10">
        <f t="shared" si="0"/>
        <v>0.34810185185185183</v>
      </c>
      <c r="D20" s="10">
        <f t="shared" si="1"/>
        <v>0.18267361111111111</v>
      </c>
      <c r="E20" s="10">
        <f t="shared" si="2"/>
        <v>0.11122685185185185</v>
      </c>
      <c r="F20" s="11">
        <f t="shared" si="3"/>
        <v>79</v>
      </c>
      <c r="G20" s="12">
        <f t="shared" si="4"/>
        <v>0.46974331693044302</v>
      </c>
    </row>
    <row r="21" spans="1:7" x14ac:dyDescent="0.3">
      <c r="A21" t="str">
        <f>Break!A21</f>
        <v>Hyd_Ashok Mahto (1008531)</v>
      </c>
      <c r="B21" s="9" t="str">
        <f t="shared" si="5"/>
        <v>Ashok Mahto</v>
      </c>
      <c r="C21" s="10">
        <f t="shared" si="0"/>
        <v>0.34574074074074074</v>
      </c>
      <c r="D21" s="10">
        <f t="shared" si="1"/>
        <v>0.20710648148148147</v>
      </c>
      <c r="E21" s="10">
        <f t="shared" si="2"/>
        <v>5.1736111111111108E-2</v>
      </c>
      <c r="F21" s="11">
        <f t="shared" si="3"/>
        <v>78</v>
      </c>
      <c r="G21" s="12">
        <f t="shared" si="4"/>
        <v>0.57495313336904097</v>
      </c>
    </row>
    <row r="22" spans="1:7" x14ac:dyDescent="0.3">
      <c r="A22" t="str">
        <f>Break!A22</f>
        <v>Hyd_Atul Kumar (1008532)</v>
      </c>
      <c r="B22" s="9" t="str">
        <f t="shared" si="5"/>
        <v>Atul Kumar</v>
      </c>
      <c r="C22" s="10">
        <f t="shared" si="0"/>
        <v>0.34283564814814815</v>
      </c>
      <c r="D22" s="10">
        <f t="shared" si="1"/>
        <v>0.20393518518518519</v>
      </c>
      <c r="E22" s="10">
        <f t="shared" si="2"/>
        <v>4.6516203703703705E-2</v>
      </c>
      <c r="F22" s="11">
        <f t="shared" si="3"/>
        <v>77</v>
      </c>
      <c r="G22" s="12">
        <f t="shared" si="4"/>
        <v>0.57945376590932096</v>
      </c>
    </row>
    <row r="23" spans="1:7" x14ac:dyDescent="0.3">
      <c r="A23" t="str">
        <f>Break!A23</f>
        <v>Hyd_Azam (1008533)</v>
      </c>
      <c r="B23" s="9" t="str">
        <f t="shared" si="5"/>
        <v>Azam</v>
      </c>
      <c r="C23" s="10">
        <f t="shared" si="0"/>
        <v>0.34553240740740743</v>
      </c>
      <c r="D23" s="10">
        <f t="shared" si="1"/>
        <v>0.20821759259259259</v>
      </c>
      <c r="E23" s="10">
        <f t="shared" si="2"/>
        <v>4.8460648148148149E-2</v>
      </c>
      <c r="F23" s="11">
        <f t="shared" si="3"/>
        <v>76</v>
      </c>
      <c r="G23" s="12">
        <f t="shared" si="4"/>
        <v>0.588296375695049</v>
      </c>
    </row>
    <row r="24" spans="1:7" x14ac:dyDescent="0.3">
      <c r="A24" t="str">
        <f>Break!A24</f>
        <v>Hyd_Bhagwat Singh (1008534)</v>
      </c>
      <c r="B24" s="9" t="str">
        <f t="shared" si="5"/>
        <v>Bhagwat Singh</v>
      </c>
      <c r="C24" s="10">
        <f t="shared" si="0"/>
        <v>0.32064814814814813</v>
      </c>
      <c r="D24" s="10">
        <f t="shared" si="1"/>
        <v>0.17288194444444444</v>
      </c>
      <c r="E24" s="10">
        <f t="shared" si="2"/>
        <v>9.0486111111111114E-2</v>
      </c>
      <c r="F24" s="11">
        <f t="shared" si="3"/>
        <v>75</v>
      </c>
      <c r="G24" s="12">
        <f t="shared" si="4"/>
        <v>0.46267686976609901</v>
      </c>
    </row>
    <row r="25" spans="1:7" x14ac:dyDescent="0.3">
      <c r="A25" t="str">
        <f>Break!A25</f>
        <v>Hyd_Bindu Nair (1008535)</v>
      </c>
      <c r="B25" s="9" t="str">
        <f t="shared" si="5"/>
        <v>Bindu Nair</v>
      </c>
      <c r="C25" s="10">
        <f t="shared" si="0"/>
        <v>0.34032407407407406</v>
      </c>
      <c r="D25" s="10">
        <f t="shared" si="1"/>
        <v>0.17644675925925926</v>
      </c>
      <c r="E25" s="10">
        <f t="shared" si="2"/>
        <v>9.1168981481481476E-2</v>
      </c>
      <c r="F25" s="11">
        <f t="shared" si="3"/>
        <v>74</v>
      </c>
      <c r="G25" s="12">
        <f t="shared" si="4"/>
        <v>0.478030199972793</v>
      </c>
    </row>
    <row r="26" spans="1:7" x14ac:dyDescent="0.3">
      <c r="A26" t="str">
        <f>Break!A26</f>
        <v>Hyd_Daleep Singh (1008536)</v>
      </c>
      <c r="B26" s="9" t="str">
        <f t="shared" si="5"/>
        <v>Daleep Singh</v>
      </c>
      <c r="C26" s="10">
        <f t="shared" si="0"/>
        <v>0.34328703703703706</v>
      </c>
      <c r="D26" s="10">
        <f t="shared" si="1"/>
        <v>0.22703703703703704</v>
      </c>
      <c r="E26" s="10">
        <f t="shared" si="2"/>
        <v>5.0625000000000003E-2</v>
      </c>
      <c r="F26" s="11">
        <f t="shared" si="3"/>
        <v>73</v>
      </c>
      <c r="G26" s="12">
        <f t="shared" si="4"/>
        <v>0.59983142279163904</v>
      </c>
    </row>
    <row r="27" spans="1:7" x14ac:dyDescent="0.3">
      <c r="A27" t="str">
        <f>Break!A27</f>
        <v>Hyd_Deepak Kumar (1008537)</v>
      </c>
      <c r="B27" s="9" t="str">
        <f t="shared" si="5"/>
        <v>Deepak Kumar</v>
      </c>
      <c r="C27" s="10">
        <f t="shared" si="0"/>
        <v>0.31663194444444442</v>
      </c>
      <c r="D27" s="10">
        <f t="shared" si="1"/>
        <v>0.21199074074074073</v>
      </c>
      <c r="E27" s="10">
        <f t="shared" si="2"/>
        <v>2.1180555555555557E-2</v>
      </c>
      <c r="F27" s="11">
        <f t="shared" si="3"/>
        <v>72</v>
      </c>
      <c r="G27" s="12">
        <f t="shared" si="4"/>
        <v>0.65029060203969702</v>
      </c>
    </row>
    <row r="28" spans="1:7" x14ac:dyDescent="0.3">
      <c r="A28" t="str">
        <f>Break!A28</f>
        <v>Hyd_Deepika Nigam (1008538)</v>
      </c>
      <c r="B28" s="9" t="str">
        <f t="shared" si="5"/>
        <v>Deepika Nigam</v>
      </c>
      <c r="C28" s="10">
        <f t="shared" si="0"/>
        <v>0.34512731481481479</v>
      </c>
      <c r="D28" s="10">
        <f t="shared" si="1"/>
        <v>0.20607638888888888</v>
      </c>
      <c r="E28" s="10">
        <f t="shared" si="2"/>
        <v>4.9768518518518517E-2</v>
      </c>
      <c r="F28" s="11">
        <f t="shared" si="3"/>
        <v>71</v>
      </c>
      <c r="G28" s="12">
        <f t="shared" si="4"/>
        <v>0.55001844461584903</v>
      </c>
    </row>
    <row r="29" spans="1:7" x14ac:dyDescent="0.3">
      <c r="A29" t="str">
        <f>Break!A29</f>
        <v>Hyd_Dinesh Kumar (1008539)</v>
      </c>
      <c r="B29" s="9" t="str">
        <f t="shared" si="5"/>
        <v>Dinesh Kumar</v>
      </c>
      <c r="C29" s="10">
        <f t="shared" si="0"/>
        <v>0.34297453703703706</v>
      </c>
      <c r="D29" s="10">
        <f t="shared" si="1"/>
        <v>0.21273148148148149</v>
      </c>
      <c r="E29" s="10">
        <f t="shared" si="2"/>
        <v>4.8645833333333333E-2</v>
      </c>
      <c r="F29" s="11">
        <f t="shared" si="3"/>
        <v>70</v>
      </c>
      <c r="G29" s="12">
        <f t="shared" si="4"/>
        <v>0.51334660682347399</v>
      </c>
    </row>
    <row r="30" spans="1:7" x14ac:dyDescent="0.3">
      <c r="A30" t="str">
        <f>Break!A30</f>
        <v>Hyd_Hari Kumar (1008540)</v>
      </c>
      <c r="B30" s="9" t="str">
        <f t="shared" si="5"/>
        <v>Hari Kumar</v>
      </c>
      <c r="C30" s="10">
        <f t="shared" si="0"/>
        <v>0.34387731481481482</v>
      </c>
      <c r="D30" s="10">
        <f t="shared" si="1"/>
        <v>0.17480324074074075</v>
      </c>
      <c r="E30" s="10">
        <f t="shared" si="2"/>
        <v>0.11449074074074074</v>
      </c>
      <c r="F30" s="11">
        <f t="shared" si="3"/>
        <v>69</v>
      </c>
      <c r="G30" s="12">
        <f t="shared" si="4"/>
        <v>0.43603379219817601</v>
      </c>
    </row>
    <row r="31" spans="1:7" x14ac:dyDescent="0.3">
      <c r="A31" t="str">
        <f>Break!A31</f>
        <v>Hyd_Heeramani Choudhary (1008541)</v>
      </c>
      <c r="B31" s="9" t="str">
        <f t="shared" si="5"/>
        <v>Heeramani Choudhary</v>
      </c>
      <c r="C31" s="10">
        <f t="shared" si="0"/>
        <v>0.31069444444444444</v>
      </c>
      <c r="D31" s="10">
        <f t="shared" si="1"/>
        <v>0.1912962962962963</v>
      </c>
      <c r="E31" s="10">
        <f t="shared" si="2"/>
        <v>5.5787037037037038E-2</v>
      </c>
      <c r="F31" s="11">
        <f t="shared" si="3"/>
        <v>68</v>
      </c>
      <c r="G31" s="12">
        <f t="shared" si="4"/>
        <v>0.52954105200417201</v>
      </c>
    </row>
    <row r="32" spans="1:7" x14ac:dyDescent="0.3">
      <c r="A32" t="str">
        <f>Break!A32</f>
        <v>Hyd_Indra Pal (1008542)</v>
      </c>
      <c r="B32" s="9" t="str">
        <f t="shared" si="5"/>
        <v>Indra Pal</v>
      </c>
      <c r="C32" s="10">
        <f t="shared" si="0"/>
        <v>0.33329861111111109</v>
      </c>
      <c r="D32" s="10">
        <f t="shared" si="1"/>
        <v>0.21824074074074074</v>
      </c>
      <c r="E32" s="10">
        <f t="shared" si="2"/>
        <v>4.809027777777778E-2</v>
      </c>
      <c r="F32" s="11">
        <f t="shared" si="3"/>
        <v>67</v>
      </c>
      <c r="G32" s="12">
        <f t="shared" si="4"/>
        <v>0.56446852102649603</v>
      </c>
    </row>
    <row r="33" spans="1:7" x14ac:dyDescent="0.3">
      <c r="A33" t="str">
        <f>Break!A33</f>
        <v>Hyd_Indra Singh (1008543)</v>
      </c>
      <c r="B33" s="9" t="str">
        <f t="shared" si="5"/>
        <v>Indra Singh</v>
      </c>
      <c r="C33" s="10">
        <f t="shared" si="0"/>
        <v>0.34564814814814815</v>
      </c>
      <c r="D33" s="10">
        <f t="shared" si="1"/>
        <v>0.21184027777777778</v>
      </c>
      <c r="E33" s="10">
        <f t="shared" si="2"/>
        <v>8.9745370370370364E-2</v>
      </c>
      <c r="F33" s="11">
        <f t="shared" si="3"/>
        <v>66</v>
      </c>
      <c r="G33" s="12">
        <f t="shared" si="4"/>
        <v>0.49789043664612898</v>
      </c>
    </row>
    <row r="34" spans="1:7" x14ac:dyDescent="0.3">
      <c r="A34" t="str">
        <f>Break!A34</f>
        <v>Hyd_Jagdish Chandra (1008544)</v>
      </c>
      <c r="B34" s="9" t="str">
        <f t="shared" si="5"/>
        <v>Jagdish Chandra</v>
      </c>
      <c r="C34" s="10">
        <f t="shared" ref="C34:C65" si="6">TIMEVALUE(VLOOKUP(A34,EData,2,0))</f>
        <v>0.34664351851851855</v>
      </c>
      <c r="D34" s="10">
        <f t="shared" ref="D34:D65" si="7">TIMEVALUE(VLOOKUP(A34,EData,3,0))</f>
        <v>0.20781250000000001</v>
      </c>
      <c r="E34" s="10">
        <f t="shared" ref="E34:E65" si="8">TIMEVALUE(VLOOKUP(A34,BData,9,0))</f>
        <v>4.7951388888888891E-2</v>
      </c>
      <c r="F34" s="11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 x14ac:dyDescent="0.3">
      <c r="A35" t="str">
        <f>Break!A35</f>
        <v>Hyd_Jairaj Vatham (1008545)</v>
      </c>
      <c r="B35" s="9" t="str">
        <f t="shared" si="5"/>
        <v>Jairaj Vatham</v>
      </c>
      <c r="C35" s="10">
        <f t="shared" si="6"/>
        <v>0.34471064814814817</v>
      </c>
      <c r="D35" s="10">
        <f t="shared" si="7"/>
        <v>0.20981481481481482</v>
      </c>
      <c r="E35" s="10">
        <f t="shared" si="8"/>
        <v>4.8564814814814818E-2</v>
      </c>
      <c r="F35" s="11">
        <f t="shared" si="9"/>
        <v>64</v>
      </c>
      <c r="G35" s="12">
        <f t="shared" si="10"/>
        <v>0.57680556021891705</v>
      </c>
    </row>
    <row r="36" spans="1:7" x14ac:dyDescent="0.3">
      <c r="A36" t="str">
        <f>Break!A36</f>
        <v>Hyd_Janardan Mishra (1008546)</v>
      </c>
      <c r="B36" s="9" t="str">
        <f t="shared" si="5"/>
        <v>Janardan Mishra</v>
      </c>
      <c r="C36" s="10">
        <f t="shared" si="6"/>
        <v>0.31923611111111111</v>
      </c>
      <c r="D36" s="10">
        <f t="shared" si="7"/>
        <v>0.18953703703703703</v>
      </c>
      <c r="E36" s="10">
        <f t="shared" si="8"/>
        <v>6.1215277777777778E-2</v>
      </c>
      <c r="F36" s="11">
        <f t="shared" si="9"/>
        <v>63</v>
      </c>
      <c r="G36" s="12">
        <f t="shared" si="10"/>
        <v>0.55728373576970502</v>
      </c>
    </row>
    <row r="37" spans="1:7" x14ac:dyDescent="0.3">
      <c r="A37" t="str">
        <f>Break!A37</f>
        <v>Hyd_Jitendra Kumar (1008547)</v>
      </c>
      <c r="B37" s="9" t="str">
        <f t="shared" si="5"/>
        <v>Jitendra Kumar</v>
      </c>
      <c r="C37" s="10">
        <f t="shared" si="6"/>
        <v>0.34128472222222223</v>
      </c>
      <c r="D37" s="10">
        <f t="shared" si="7"/>
        <v>0.17200231481481482</v>
      </c>
      <c r="E37" s="10">
        <f t="shared" si="8"/>
        <v>0.10777777777777778</v>
      </c>
      <c r="F37" s="11">
        <f t="shared" si="9"/>
        <v>62</v>
      </c>
      <c r="G37" s="12">
        <f t="shared" si="10"/>
        <v>0.47590463594126198</v>
      </c>
    </row>
    <row r="38" spans="1:7" x14ac:dyDescent="0.3">
      <c r="A38" t="str">
        <f>Break!A38</f>
        <v>Hyd_John D'Costa (1008548)</v>
      </c>
      <c r="B38" s="9" t="str">
        <f t="shared" si="5"/>
        <v>John D'Costa</v>
      </c>
      <c r="C38" s="10">
        <f t="shared" si="6"/>
        <v>0.34012731481481484</v>
      </c>
      <c r="D38" s="10">
        <f t="shared" si="7"/>
        <v>0.20243055555555556</v>
      </c>
      <c r="E38" s="10">
        <f t="shared" si="8"/>
        <v>4.8333333333333332E-2</v>
      </c>
      <c r="F38" s="11">
        <f t="shared" si="9"/>
        <v>61</v>
      </c>
      <c r="G38" s="12">
        <f t="shared" si="10"/>
        <v>0.55636846224520997</v>
      </c>
    </row>
    <row r="39" spans="1:7" x14ac:dyDescent="0.3">
      <c r="A39" t="str">
        <f>Break!A39</f>
        <v>Hyd_Julie S (1008549)</v>
      </c>
      <c r="B39" s="9" t="str">
        <f t="shared" si="5"/>
        <v>Julie S</v>
      </c>
      <c r="C39" s="10">
        <f t="shared" si="6"/>
        <v>0.3442824074074074</v>
      </c>
      <c r="D39" s="10">
        <f t="shared" si="7"/>
        <v>0.20569444444444446</v>
      </c>
      <c r="E39" s="10">
        <f t="shared" si="8"/>
        <v>4.912037037037037E-2</v>
      </c>
      <c r="F39" s="11">
        <f t="shared" si="9"/>
        <v>60</v>
      </c>
      <c r="G39" s="12">
        <f t="shared" si="10"/>
        <v>0.527970147246689</v>
      </c>
    </row>
    <row r="40" spans="1:7" x14ac:dyDescent="0.3">
      <c r="A40" t="str">
        <f>Break!A40</f>
        <v>Hyd_Jyoti Tulsani (1008550)</v>
      </c>
      <c r="B40" s="9" t="str">
        <f t="shared" si="5"/>
        <v>Jyoti Tulsani</v>
      </c>
      <c r="C40" s="10">
        <f t="shared" si="6"/>
        <v>0.3439699074074074</v>
      </c>
      <c r="D40" s="10">
        <f t="shared" si="7"/>
        <v>0.20620370370370369</v>
      </c>
      <c r="E40" s="10">
        <f t="shared" si="8"/>
        <v>4.8923611111111112E-2</v>
      </c>
      <c r="F40" s="11">
        <f t="shared" si="9"/>
        <v>59</v>
      </c>
      <c r="G40" s="12">
        <f t="shared" si="10"/>
        <v>0.565025741108382</v>
      </c>
    </row>
    <row r="41" spans="1:7" x14ac:dyDescent="0.3">
      <c r="A41" t="str">
        <f>Break!A41</f>
        <v>Hyd_Kahkasha Parveen (1008551)</v>
      </c>
      <c r="B41" s="9" t="str">
        <f t="shared" si="5"/>
        <v>Kahkasha Parveen</v>
      </c>
      <c r="C41" s="10">
        <f t="shared" si="6"/>
        <v>0.34541666666666665</v>
      </c>
      <c r="D41" s="10">
        <f t="shared" si="7"/>
        <v>0.22590277777777779</v>
      </c>
      <c r="E41" s="10">
        <f t="shared" si="8"/>
        <v>4.8750000000000002E-2</v>
      </c>
      <c r="F41" s="11">
        <f t="shared" si="9"/>
        <v>58</v>
      </c>
      <c r="G41" s="12">
        <f t="shared" si="10"/>
        <v>0.48579278917035301</v>
      </c>
    </row>
    <row r="42" spans="1:7" x14ac:dyDescent="0.3">
      <c r="A42" t="str">
        <f>Break!A42</f>
        <v>Hyd_Kailash Nath (1008552)</v>
      </c>
      <c r="B42" s="9" t="str">
        <f t="shared" si="5"/>
        <v>Kailash Nath</v>
      </c>
      <c r="C42" s="10">
        <f t="shared" si="6"/>
        <v>0.34445601851851854</v>
      </c>
      <c r="D42" s="10">
        <f t="shared" si="7"/>
        <v>0.20725694444444445</v>
      </c>
      <c r="E42" s="10">
        <f t="shared" si="8"/>
        <v>4.6990740740740743E-2</v>
      </c>
      <c r="F42" s="11">
        <f t="shared" si="9"/>
        <v>57</v>
      </c>
      <c r="G42" s="12">
        <f t="shared" si="10"/>
        <v>0.572258996673499</v>
      </c>
    </row>
    <row r="43" spans="1:7" x14ac:dyDescent="0.3">
      <c r="A43" t="str">
        <f>Break!A43</f>
        <v>Hyd_Kalpana Agrawal (1008553)</v>
      </c>
      <c r="B43" s="9" t="str">
        <f t="shared" si="5"/>
        <v>Kalpana Agrawal</v>
      </c>
      <c r="C43" s="10">
        <f t="shared" si="6"/>
        <v>0.3334259259259259</v>
      </c>
      <c r="D43" s="10">
        <f t="shared" si="7"/>
        <v>0.16271990740740741</v>
      </c>
      <c r="E43" s="10">
        <f t="shared" si="8"/>
        <v>0.10062500000000001</v>
      </c>
      <c r="F43" s="11">
        <f t="shared" si="9"/>
        <v>56</v>
      </c>
      <c r="G43" s="12">
        <f t="shared" si="10"/>
        <v>0.46542627048042201</v>
      </c>
    </row>
    <row r="44" spans="1:7" x14ac:dyDescent="0.3">
      <c r="A44" t="str">
        <f>Break!A44</f>
        <v>Hyd_Kamini Kumar (1008554)</v>
      </c>
      <c r="B44" s="9" t="str">
        <f t="shared" si="5"/>
        <v>Kamini Kumar</v>
      </c>
      <c r="C44" s="10">
        <f t="shared" si="6"/>
        <v>0.20945601851851853</v>
      </c>
      <c r="D44" s="10">
        <f t="shared" si="7"/>
        <v>0.13993055555555556</v>
      </c>
      <c r="E44" s="10">
        <f t="shared" si="8"/>
        <v>1.0416666666666666E-2</v>
      </c>
      <c r="F44" s="11">
        <f t="shared" si="9"/>
        <v>55</v>
      </c>
      <c r="G44" s="12">
        <f t="shared" si="10"/>
        <v>0.64380836602751801</v>
      </c>
    </row>
    <row r="45" spans="1:7" x14ac:dyDescent="0.3">
      <c r="A45" t="str">
        <f>Break!A45</f>
        <v>Hyd_Kamini Tiwari (1008555)</v>
      </c>
      <c r="B45" s="9" t="str">
        <f t="shared" si="5"/>
        <v>Kamini Tiwari</v>
      </c>
      <c r="C45" s="10">
        <f t="shared" si="6"/>
        <v>0.35192129629629632</v>
      </c>
      <c r="D45" s="10">
        <f t="shared" si="7"/>
        <v>0.22140046296296295</v>
      </c>
      <c r="E45" s="10">
        <f t="shared" si="8"/>
        <v>4.8437500000000001E-2</v>
      </c>
      <c r="F45" s="11">
        <f t="shared" si="9"/>
        <v>54</v>
      </c>
      <c r="G45" s="12">
        <f t="shared" si="10"/>
        <v>0.57347234098533195</v>
      </c>
    </row>
    <row r="46" spans="1:7" x14ac:dyDescent="0.3">
      <c r="A46" t="str">
        <f>Break!A46</f>
        <v>Hyd_Kavita Sharma (1008556)</v>
      </c>
      <c r="B46" s="9" t="str">
        <f t="shared" si="5"/>
        <v>Kavita Sharma</v>
      </c>
      <c r="C46" s="10">
        <f t="shared" si="6"/>
        <v>0.32876157407407408</v>
      </c>
      <c r="D46" s="10">
        <f t="shared" si="7"/>
        <v>0.22660879629629629</v>
      </c>
      <c r="E46" s="10">
        <f t="shared" si="8"/>
        <v>3.9108796296296294E-2</v>
      </c>
      <c r="F46" s="11">
        <f t="shared" si="9"/>
        <v>53</v>
      </c>
      <c r="G46" s="12">
        <f t="shared" si="10"/>
        <v>0.64717479317021698</v>
      </c>
    </row>
    <row r="47" spans="1:7" x14ac:dyDescent="0.3">
      <c r="A47" t="str">
        <f>Break!A47</f>
        <v>Hyd_Kiran Khubchandani (1008557)</v>
      </c>
      <c r="B47" s="9" t="str">
        <f t="shared" si="5"/>
        <v>Kiran Khubchandani</v>
      </c>
      <c r="C47" s="10">
        <f t="shared" si="6"/>
        <v>0.33435185185185184</v>
      </c>
      <c r="D47" s="10">
        <f t="shared" si="7"/>
        <v>0.17586805555555557</v>
      </c>
      <c r="E47" s="10">
        <f t="shared" si="8"/>
        <v>9.0555555555555556E-2</v>
      </c>
      <c r="F47" s="11">
        <f t="shared" si="9"/>
        <v>52</v>
      </c>
      <c r="G47" s="12">
        <f t="shared" si="10"/>
        <v>0.50443090556632497</v>
      </c>
    </row>
    <row r="48" spans="1:7" x14ac:dyDescent="0.3">
      <c r="A48" t="str">
        <f>Break!A48</f>
        <v>Hyd_Kisun Sah (1008558)</v>
      </c>
      <c r="B48" s="9" t="str">
        <f t="shared" si="5"/>
        <v>Kisun Sah</v>
      </c>
      <c r="C48" s="10">
        <f t="shared" si="6"/>
        <v>0.34831018518518519</v>
      </c>
      <c r="D48" s="10">
        <f t="shared" si="7"/>
        <v>0.21436342592592592</v>
      </c>
      <c r="E48" s="10">
        <f t="shared" si="8"/>
        <v>4.8240740740740744E-2</v>
      </c>
      <c r="F48" s="11">
        <f t="shared" si="9"/>
        <v>51</v>
      </c>
      <c r="G48" s="12">
        <f t="shared" si="10"/>
        <v>0.55280122283511701</v>
      </c>
    </row>
    <row r="49" spans="1:7" x14ac:dyDescent="0.3">
      <c r="A49" t="str">
        <f>Break!A49</f>
        <v>Hyd_Krishana Kumar (1008559)</v>
      </c>
      <c r="B49" s="9" t="str">
        <f t="shared" si="5"/>
        <v>Krishana Kumar</v>
      </c>
      <c r="C49" s="10">
        <f t="shared" si="6"/>
        <v>0.34407407407407409</v>
      </c>
      <c r="D49" s="10">
        <f t="shared" si="7"/>
        <v>0.19798611111111111</v>
      </c>
      <c r="E49" s="10">
        <f t="shared" si="8"/>
        <v>4.8437500000000001E-2</v>
      </c>
      <c r="F49" s="11">
        <f t="shared" si="9"/>
        <v>50</v>
      </c>
      <c r="G49" s="12">
        <f t="shared" si="10"/>
        <v>0.55493137782561897</v>
      </c>
    </row>
    <row r="50" spans="1:7" x14ac:dyDescent="0.3">
      <c r="A50" t="str">
        <f>Break!A50</f>
        <v>Hyd_Kunj Bihari (1008560)</v>
      </c>
      <c r="B50" s="9" t="str">
        <f t="shared" si="5"/>
        <v>Kunj Bihari</v>
      </c>
      <c r="C50" s="10">
        <f t="shared" si="6"/>
        <v>0.33285879629629628</v>
      </c>
      <c r="D50" s="10">
        <f t="shared" si="7"/>
        <v>0.19598379629629631</v>
      </c>
      <c r="E50" s="10">
        <f t="shared" si="8"/>
        <v>4.8738425925925928E-2</v>
      </c>
      <c r="F50" s="11">
        <f t="shared" si="9"/>
        <v>49</v>
      </c>
      <c r="G50" s="12">
        <f t="shared" si="10"/>
        <v>0.55217497131332804</v>
      </c>
    </row>
    <row r="51" spans="1:7" x14ac:dyDescent="0.3">
      <c r="A51" t="str">
        <f>Break!A51</f>
        <v>Hyd_Leena George (1008561)</v>
      </c>
      <c r="B51" s="9" t="str">
        <f t="shared" si="5"/>
        <v>Leena George</v>
      </c>
      <c r="C51" s="10">
        <f t="shared" si="6"/>
        <v>0.20570601851851852</v>
      </c>
      <c r="D51" s="10">
        <f t="shared" si="7"/>
        <v>0.13252314814814814</v>
      </c>
      <c r="E51" s="10">
        <f t="shared" si="8"/>
        <v>1.2615740740740742E-2</v>
      </c>
      <c r="F51" s="11">
        <f t="shared" si="9"/>
        <v>48</v>
      </c>
      <c r="G51" s="12">
        <f t="shared" si="10"/>
        <v>0.58819557756147001</v>
      </c>
    </row>
    <row r="52" spans="1:7" x14ac:dyDescent="0.3">
      <c r="A52" t="str">
        <f>Break!A52</f>
        <v>Hyd_Lilly Lucy (1008562)</v>
      </c>
      <c r="B52" s="9" t="str">
        <f t="shared" si="5"/>
        <v>Lilly Lucy</v>
      </c>
      <c r="C52" s="10">
        <f t="shared" si="6"/>
        <v>0.32318287037037036</v>
      </c>
      <c r="D52" s="10">
        <f t="shared" si="7"/>
        <v>0.19381944444444443</v>
      </c>
      <c r="E52" s="10">
        <f t="shared" si="8"/>
        <v>5.1898148148148152E-2</v>
      </c>
      <c r="F52" s="11">
        <f t="shared" si="9"/>
        <v>47</v>
      </c>
      <c r="G52" s="12">
        <f t="shared" si="10"/>
        <v>0.55534863732407003</v>
      </c>
    </row>
    <row r="53" spans="1:7" x14ac:dyDescent="0.3">
      <c r="A53" t="str">
        <f>Break!A53</f>
        <v>Hyd_Mangal Singh (1008563)</v>
      </c>
      <c r="B53" s="9" t="str">
        <f t="shared" si="5"/>
        <v>Mangal Singh</v>
      </c>
      <c r="C53" s="10">
        <f t="shared" si="6"/>
        <v>0.33348379629629632</v>
      </c>
      <c r="D53" s="10">
        <f t="shared" si="7"/>
        <v>0.19890046296296296</v>
      </c>
      <c r="E53" s="10">
        <f t="shared" si="8"/>
        <v>4.8657407407407406E-2</v>
      </c>
      <c r="F53" s="11">
        <f t="shared" si="9"/>
        <v>46</v>
      </c>
      <c r="G53" s="12">
        <f t="shared" si="10"/>
        <v>0.55815083469267301</v>
      </c>
    </row>
    <row r="54" spans="1:7" x14ac:dyDescent="0.3">
      <c r="A54" t="str">
        <f>Break!A54</f>
        <v>Hyd_Manisha Shrivastava (1008564)</v>
      </c>
      <c r="B54" s="9" t="str">
        <f t="shared" si="5"/>
        <v>Manisha Shrivastava</v>
      </c>
      <c r="C54" s="10">
        <f t="shared" si="6"/>
        <v>0.34015046296296297</v>
      </c>
      <c r="D54" s="10">
        <f t="shared" si="7"/>
        <v>0.20222222222222222</v>
      </c>
      <c r="E54" s="10">
        <f t="shared" si="8"/>
        <v>4.8715277777777781E-2</v>
      </c>
      <c r="F54" s="11">
        <f t="shared" si="9"/>
        <v>45</v>
      </c>
      <c r="G54" s="12">
        <f t="shared" si="10"/>
        <v>0.53002824185919895</v>
      </c>
    </row>
    <row r="55" spans="1:7" x14ac:dyDescent="0.3">
      <c r="A55" t="str">
        <f>Break!A55</f>
        <v>Hyd_Manjusha Sinha (1008565)</v>
      </c>
      <c r="B55" s="9" t="str">
        <f t="shared" si="5"/>
        <v>Manjusha Sinha</v>
      </c>
      <c r="C55" s="10">
        <f t="shared" si="6"/>
        <v>0.34311342592592592</v>
      </c>
      <c r="D55" s="10">
        <f t="shared" si="7"/>
        <v>0.21112268518518518</v>
      </c>
      <c r="E55" s="10">
        <f t="shared" si="8"/>
        <v>4.9062500000000002E-2</v>
      </c>
      <c r="F55" s="11">
        <f t="shared" si="9"/>
        <v>44</v>
      </c>
      <c r="G55" s="12">
        <f t="shared" si="10"/>
        <v>0.54639905548996504</v>
      </c>
    </row>
    <row r="56" spans="1:7" x14ac:dyDescent="0.3">
      <c r="A56" t="str">
        <f>Break!A56</f>
        <v>Hyd_ManjuTiwari Lab (1008566)</v>
      </c>
      <c r="B56" s="9" t="str">
        <f t="shared" si="5"/>
        <v>ManjuTiwari Lab</v>
      </c>
      <c r="C56" s="10">
        <f t="shared" si="6"/>
        <v>0.32046296296296295</v>
      </c>
      <c r="D56" s="10">
        <f t="shared" si="7"/>
        <v>0.18484953703703705</v>
      </c>
      <c r="E56" s="10">
        <f t="shared" si="8"/>
        <v>4.9143518518518517E-2</v>
      </c>
      <c r="F56" s="11">
        <f t="shared" si="9"/>
        <v>43</v>
      </c>
      <c r="G56" s="12">
        <f t="shared" si="10"/>
        <v>0.52849609939323905</v>
      </c>
    </row>
    <row r="57" spans="1:7" x14ac:dyDescent="0.3">
      <c r="A57" t="str">
        <f>Break!A57</f>
        <v>Hyd_Manoj Kumar (1008567)</v>
      </c>
      <c r="B57" s="9" t="str">
        <f t="shared" si="5"/>
        <v>Manoj Kumar</v>
      </c>
      <c r="C57" s="10">
        <f t="shared" si="6"/>
        <v>0.33384259259259258</v>
      </c>
      <c r="D57" s="10">
        <f t="shared" si="7"/>
        <v>0.1867824074074074</v>
      </c>
      <c r="E57" s="10">
        <f t="shared" si="8"/>
        <v>4.853009259259259E-2</v>
      </c>
      <c r="F57" s="11">
        <f t="shared" si="9"/>
        <v>42</v>
      </c>
      <c r="G57" s="12">
        <f t="shared" si="10"/>
        <v>0.53279711551795905</v>
      </c>
    </row>
    <row r="58" spans="1:7" x14ac:dyDescent="0.3">
      <c r="A58" t="str">
        <f>Break!A58</f>
        <v>Hyd_Manoj Kumar (1008568)</v>
      </c>
      <c r="B58" s="9" t="str">
        <f t="shared" si="5"/>
        <v>Manoj Kumar</v>
      </c>
      <c r="C58" s="10">
        <f t="shared" si="6"/>
        <v>0.33012731481481483</v>
      </c>
      <c r="D58" s="10">
        <f t="shared" si="7"/>
        <v>0.18739583333333334</v>
      </c>
      <c r="E58" s="10">
        <f t="shared" si="8"/>
        <v>5.2766203703703704E-2</v>
      </c>
      <c r="F58" s="11">
        <f t="shared" si="9"/>
        <v>41</v>
      </c>
      <c r="G58" s="12">
        <f t="shared" si="10"/>
        <v>0.53150089401535605</v>
      </c>
    </row>
    <row r="59" spans="1:7" x14ac:dyDescent="0.3">
      <c r="A59" t="str">
        <f>Break!A59</f>
        <v>Hyd_Masroor Adil (1008569)</v>
      </c>
      <c r="B59" s="9" t="str">
        <f t="shared" si="5"/>
        <v>Masroor Adil</v>
      </c>
      <c r="C59" s="10">
        <f t="shared" si="6"/>
        <v>0.34032407407407406</v>
      </c>
      <c r="D59" s="10">
        <f t="shared" si="7"/>
        <v>0.21151620370370369</v>
      </c>
      <c r="E59" s="10">
        <f t="shared" si="8"/>
        <v>4.9756944444444444E-2</v>
      </c>
      <c r="F59" s="11">
        <f t="shared" si="9"/>
        <v>40</v>
      </c>
      <c r="G59" s="12">
        <f t="shared" si="10"/>
        <v>0.58954564004897303</v>
      </c>
    </row>
    <row r="60" spans="1:7" x14ac:dyDescent="0.3">
      <c r="A60" t="str">
        <f>Break!A60</f>
        <v>Hyd_Meena Zinjare (1008570)</v>
      </c>
      <c r="B60" s="9" t="str">
        <f t="shared" si="5"/>
        <v>Meena Zinjare</v>
      </c>
      <c r="C60" s="10">
        <f t="shared" si="6"/>
        <v>0.33714120370370371</v>
      </c>
      <c r="D60" s="10">
        <f t="shared" si="7"/>
        <v>0.13162037037037036</v>
      </c>
      <c r="E60" s="10">
        <f t="shared" si="8"/>
        <v>0.14913194444444444</v>
      </c>
      <c r="F60" s="11">
        <f t="shared" si="9"/>
        <v>39</v>
      </c>
      <c r="G60" s="12">
        <f t="shared" si="10"/>
        <v>0.34903360911806097</v>
      </c>
    </row>
    <row r="61" spans="1:7" x14ac:dyDescent="0.3">
      <c r="A61" t="str">
        <f>Break!A61</f>
        <v>Hyd_Mehnaz Khan (1008571)</v>
      </c>
      <c r="B61" s="9" t="str">
        <f t="shared" si="5"/>
        <v>Mehnaz Khan</v>
      </c>
      <c r="C61" s="10">
        <f t="shared" si="6"/>
        <v>0.34364583333333332</v>
      </c>
      <c r="D61" s="10">
        <f t="shared" si="7"/>
        <v>0.17246527777777779</v>
      </c>
      <c r="E61" s="10">
        <f t="shared" si="8"/>
        <v>9.194444444444444E-2</v>
      </c>
      <c r="F61" s="11">
        <f t="shared" si="9"/>
        <v>38</v>
      </c>
      <c r="G61" s="12">
        <f t="shared" si="10"/>
        <v>0.47933717288067101</v>
      </c>
    </row>
    <row r="62" spans="1:7" x14ac:dyDescent="0.3">
      <c r="A62" t="str">
        <f>Break!A62</f>
        <v>Hyd_Mercy Thampi (1008572)</v>
      </c>
      <c r="B62" s="9" t="str">
        <f t="shared" si="5"/>
        <v>Mercy Thampi</v>
      </c>
      <c r="C62" s="10">
        <f t="shared" si="6"/>
        <v>0.21915509259259258</v>
      </c>
      <c r="D62" s="10">
        <f t="shared" si="7"/>
        <v>0.15189814814814814</v>
      </c>
      <c r="E62" s="10">
        <f t="shared" si="8"/>
        <v>1.0821759259259258E-2</v>
      </c>
      <c r="F62" s="11">
        <f t="shared" si="9"/>
        <v>37</v>
      </c>
      <c r="G62" s="12">
        <f t="shared" si="10"/>
        <v>0.62762080802746201</v>
      </c>
    </row>
    <row r="63" spans="1:7" x14ac:dyDescent="0.3">
      <c r="A63" t="str">
        <f>Break!A63</f>
        <v>Hyd_Miny Mole (1008573)</v>
      </c>
      <c r="B63" s="9" t="str">
        <f t="shared" si="5"/>
        <v>Miny Mole</v>
      </c>
      <c r="C63" s="10">
        <f t="shared" si="6"/>
        <v>0.3417824074074074</v>
      </c>
      <c r="D63" s="10">
        <f t="shared" si="7"/>
        <v>0.17645833333333333</v>
      </c>
      <c r="E63" s="10">
        <f t="shared" si="8"/>
        <v>9.2442129629629624E-2</v>
      </c>
      <c r="F63" s="11">
        <f t="shared" si="9"/>
        <v>36</v>
      </c>
      <c r="G63" s="12">
        <f t="shared" si="10"/>
        <v>0.47561801557737898</v>
      </c>
    </row>
    <row r="64" spans="1:7" x14ac:dyDescent="0.3">
      <c r="A64" t="str">
        <f>Break!A64</f>
        <v>Hyd_Mohd Rafi (1008574)</v>
      </c>
      <c r="B64" s="9" t="str">
        <f t="shared" si="5"/>
        <v>Mohd Rafi</v>
      </c>
      <c r="C64" s="10">
        <f t="shared" si="6"/>
        <v>0.33370370370370372</v>
      </c>
      <c r="D64" s="10">
        <f t="shared" si="7"/>
        <v>0.16336805555555556</v>
      </c>
      <c r="E64" s="10">
        <f t="shared" si="8"/>
        <v>0.11005787037037038</v>
      </c>
      <c r="F64" s="11">
        <f t="shared" si="9"/>
        <v>35</v>
      </c>
      <c r="G64" s="12">
        <f t="shared" si="10"/>
        <v>0.43635543840177599</v>
      </c>
    </row>
    <row r="65" spans="1:7" x14ac:dyDescent="0.3">
      <c r="A65" t="str">
        <f>Break!A65</f>
        <v>Hyd_Mubeen Khan (1008575)</v>
      </c>
      <c r="B65" s="9" t="str">
        <f t="shared" si="5"/>
        <v>Mubeen Khan</v>
      </c>
      <c r="C65" s="10">
        <f t="shared" si="6"/>
        <v>0.33026620370370369</v>
      </c>
      <c r="D65" s="10">
        <f t="shared" si="7"/>
        <v>0.16021990740740741</v>
      </c>
      <c r="E65" s="10">
        <f t="shared" si="8"/>
        <v>0.10043981481481482</v>
      </c>
      <c r="F65" s="11">
        <f t="shared" si="9"/>
        <v>34</v>
      </c>
      <c r="G65" s="12">
        <f t="shared" si="10"/>
        <v>0.451270369721395</v>
      </c>
    </row>
    <row r="66" spans="1:7" x14ac:dyDescent="0.3">
      <c r="A66" t="str">
        <f>Break!A66</f>
        <v>Hyd_Mukesh Nagar (1008576)</v>
      </c>
      <c r="B66" s="9" t="str">
        <f t="shared" si="5"/>
        <v>Mukesh Nagar</v>
      </c>
      <c r="C66" s="10">
        <f t="shared" ref="C66:C97" si="11">TIMEVALUE(VLOOKUP(A66,EData,2,0))</f>
        <v>0.20910879629629631</v>
      </c>
      <c r="D66" s="10">
        <f t="shared" ref="D66:D97" si="12">TIMEVALUE(VLOOKUP(A66,EData,3,0))</f>
        <v>0.13449074074074074</v>
      </c>
      <c r="E66" s="10">
        <f t="shared" ref="E66:E97" si="13">TIMEVALUE(VLOOKUP(A66,BData,9,0))</f>
        <v>2.0532407407407409E-2</v>
      </c>
      <c r="F66" s="11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 x14ac:dyDescent="0.3">
      <c r="A67" t="str">
        <f>Break!A67</f>
        <v>Hyd_Nandu Kumar (1008577)</v>
      </c>
      <c r="B67" s="9" t="str">
        <f t="shared" ref="B67:B130" si="16">MID(A67,FIND("_",A67,1)+1,FIND("(",A67,1)-FIND("_",A67,1)-2)</f>
        <v>Nandu Kumar</v>
      </c>
      <c r="C67" s="10">
        <f t="shared" si="11"/>
        <v>0.34836805555555556</v>
      </c>
      <c r="D67" s="10">
        <f t="shared" si="12"/>
        <v>0.19697916666666668</v>
      </c>
      <c r="E67" s="10">
        <f t="shared" si="13"/>
        <v>5.1423611111111114E-2</v>
      </c>
      <c r="F67" s="11">
        <f t="shared" si="14"/>
        <v>32</v>
      </c>
      <c r="G67" s="12">
        <f t="shared" si="15"/>
        <v>0.51755872288115901</v>
      </c>
    </row>
    <row r="68" spans="1:7" x14ac:dyDescent="0.3">
      <c r="A68" t="str">
        <f>Break!A68</f>
        <v>Hyd_Narayan Singh (1008578)</v>
      </c>
      <c r="B68" s="9" t="str">
        <f t="shared" si="16"/>
        <v>Narayan Singh</v>
      </c>
      <c r="C68" s="10">
        <f t="shared" si="11"/>
        <v>0.34686342592592595</v>
      </c>
      <c r="D68" s="10">
        <f t="shared" si="12"/>
        <v>0.20438657407407407</v>
      </c>
      <c r="E68" s="10">
        <f t="shared" si="13"/>
        <v>4.7534722222222221E-2</v>
      </c>
      <c r="F68" s="11">
        <f t="shared" si="14"/>
        <v>31</v>
      </c>
      <c r="G68" s="12">
        <f t="shared" si="15"/>
        <v>0.55550735760285597</v>
      </c>
    </row>
    <row r="69" spans="1:7" x14ac:dyDescent="0.3">
      <c r="A69" t="str">
        <f>Break!A69</f>
        <v>Hyd_Neeraj Saxena (1008579)</v>
      </c>
      <c r="B69" s="9" t="str">
        <f t="shared" si="16"/>
        <v>Neeraj Saxena</v>
      </c>
      <c r="C69" s="10">
        <f t="shared" si="11"/>
        <v>0.34806712962962966</v>
      </c>
      <c r="D69" s="10">
        <f t="shared" si="12"/>
        <v>0.19177083333333333</v>
      </c>
      <c r="E69" s="10">
        <f t="shared" si="13"/>
        <v>9.3958333333333338E-2</v>
      </c>
      <c r="F69" s="11">
        <f t="shared" si="14"/>
        <v>30</v>
      </c>
      <c r="G69" s="12">
        <f t="shared" si="15"/>
        <v>0.45535862734013899</v>
      </c>
    </row>
    <row r="70" spans="1:7" x14ac:dyDescent="0.3">
      <c r="A70" t="str">
        <f>Break!A70</f>
        <v>Hyd_Neeru Mehta (1008580)</v>
      </c>
      <c r="B70" s="9" t="str">
        <f t="shared" si="16"/>
        <v>Neeru Mehta</v>
      </c>
      <c r="C70" s="10">
        <f t="shared" si="11"/>
        <v>0.3349537037037037</v>
      </c>
      <c r="D70" s="10">
        <f t="shared" si="12"/>
        <v>0.19739583333333333</v>
      </c>
      <c r="E70" s="10">
        <f t="shared" si="13"/>
        <v>4.8645833333333333E-2</v>
      </c>
      <c r="F70" s="11">
        <f t="shared" si="14"/>
        <v>29</v>
      </c>
      <c r="G70" s="12">
        <f t="shared" si="15"/>
        <v>0.53445058742225304</v>
      </c>
    </row>
    <row r="71" spans="1:7" x14ac:dyDescent="0.3">
      <c r="A71" t="str">
        <f>Break!A71</f>
        <v>Hyd_Nikita Panwalkar (1008581)</v>
      </c>
      <c r="B71" s="9" t="str">
        <f t="shared" si="16"/>
        <v>Nikita Panwalkar</v>
      </c>
      <c r="C71" s="10">
        <f t="shared" si="11"/>
        <v>0.34497685185185184</v>
      </c>
      <c r="D71" s="10">
        <f t="shared" si="12"/>
        <v>0.20746527777777779</v>
      </c>
      <c r="E71" s="10">
        <f t="shared" si="13"/>
        <v>6.7650462962962968E-2</v>
      </c>
      <c r="F71" s="11">
        <f t="shared" si="14"/>
        <v>28</v>
      </c>
      <c r="G71" s="12">
        <f t="shared" si="15"/>
        <v>0.55914916459773201</v>
      </c>
    </row>
    <row r="72" spans="1:7" x14ac:dyDescent="0.3">
      <c r="A72" t="str">
        <f>Break!A72</f>
        <v>Hyd_Nitin Bhatia (1008582)</v>
      </c>
      <c r="B72" s="9" t="str">
        <f t="shared" si="16"/>
        <v>Nitin Bhatia</v>
      </c>
      <c r="C72" s="10">
        <f t="shared" si="11"/>
        <v>0.33376157407407409</v>
      </c>
      <c r="D72" s="10">
        <f t="shared" si="12"/>
        <v>0.19787037037037036</v>
      </c>
      <c r="E72" s="10">
        <f t="shared" si="13"/>
        <v>4.853009259259259E-2</v>
      </c>
      <c r="F72" s="11">
        <f t="shared" si="14"/>
        <v>29</v>
      </c>
      <c r="G72" s="12">
        <f t="shared" si="15"/>
        <v>0.56847106148351101</v>
      </c>
    </row>
    <row r="73" spans="1:7" x14ac:dyDescent="0.3">
      <c r="A73" t="str">
        <f>Break!A73</f>
        <v>Hyd_Om Prakash (1008583)</v>
      </c>
      <c r="B73" s="9" t="str">
        <f t="shared" si="16"/>
        <v>Om Prakash</v>
      </c>
      <c r="C73" s="10">
        <f t="shared" si="11"/>
        <v>0.33037037037037037</v>
      </c>
      <c r="D73" s="10">
        <f t="shared" si="12"/>
        <v>0.18496527777777777</v>
      </c>
      <c r="E73" s="10">
        <f t="shared" si="13"/>
        <v>6.6701388888888893E-2</v>
      </c>
      <c r="F73" s="11">
        <f t="shared" si="14"/>
        <v>30</v>
      </c>
      <c r="G73" s="12">
        <f t="shared" si="15"/>
        <v>0.47509108744394601</v>
      </c>
    </row>
    <row r="74" spans="1:7" x14ac:dyDescent="0.3">
      <c r="A74" t="str">
        <f>Break!A74</f>
        <v>Hyd_Omprakash O (1008584)</v>
      </c>
      <c r="B74" s="9" t="str">
        <f t="shared" si="16"/>
        <v>Omprakash O</v>
      </c>
      <c r="C74" s="10">
        <f t="shared" si="11"/>
        <v>0.34008101851851852</v>
      </c>
      <c r="D74" s="10">
        <f t="shared" si="12"/>
        <v>0.16811342592592593</v>
      </c>
      <c r="E74" s="10">
        <f t="shared" si="13"/>
        <v>9.1597222222222219E-2</v>
      </c>
      <c r="F74" s="11">
        <f t="shared" si="14"/>
        <v>31</v>
      </c>
      <c r="G74" s="12">
        <f t="shared" si="15"/>
        <v>0.47578531804104401</v>
      </c>
    </row>
    <row r="75" spans="1:7" x14ac:dyDescent="0.3">
      <c r="A75" t="str">
        <f>Break!A75</f>
        <v>Hyd_Owais Mohd (1008585)</v>
      </c>
      <c r="B75" s="9" t="str">
        <f t="shared" si="16"/>
        <v>Owais Mohd</v>
      </c>
      <c r="C75" s="10">
        <f t="shared" si="11"/>
        <v>0.33415509259259257</v>
      </c>
      <c r="D75" s="10">
        <f t="shared" si="12"/>
        <v>0.16863425925925926</v>
      </c>
      <c r="E75" s="10">
        <f t="shared" si="13"/>
        <v>0.10168981481481482</v>
      </c>
      <c r="F75" s="11">
        <f t="shared" si="14"/>
        <v>32</v>
      </c>
      <c r="G75" s="12">
        <f t="shared" si="15"/>
        <v>0.46898271622042897</v>
      </c>
    </row>
    <row r="76" spans="1:7" x14ac:dyDescent="0.3">
      <c r="A76" t="str">
        <f>Break!A76</f>
        <v>Hyd_Pankaj Shelkey (1008586)</v>
      </c>
      <c r="B76" s="9" t="str">
        <f t="shared" si="16"/>
        <v>Pankaj Shelkey</v>
      </c>
      <c r="C76" s="10">
        <f t="shared" si="11"/>
        <v>0.34437499999999999</v>
      </c>
      <c r="D76" s="10">
        <f t="shared" si="12"/>
        <v>0.18534722222222222</v>
      </c>
      <c r="E76" s="10">
        <f t="shared" si="13"/>
        <v>8.0162037037037032E-2</v>
      </c>
      <c r="F76" s="11">
        <f t="shared" si="14"/>
        <v>33</v>
      </c>
      <c r="G76" s="12">
        <f t="shared" si="15"/>
        <v>0.51361161524500898</v>
      </c>
    </row>
    <row r="77" spans="1:7" x14ac:dyDescent="0.3">
      <c r="A77" t="str">
        <f>Break!A77</f>
        <v>Hyd_Partha Sarathi (1008587)</v>
      </c>
      <c r="B77" s="9" t="str">
        <f t="shared" si="16"/>
        <v>Partha Sarathi</v>
      </c>
      <c r="C77" s="10">
        <f t="shared" si="11"/>
        <v>0.3558101851851852</v>
      </c>
      <c r="D77" s="10">
        <f t="shared" si="12"/>
        <v>0.21642361111111111</v>
      </c>
      <c r="E77" s="10">
        <f t="shared" si="13"/>
        <v>6.8541666666666667E-2</v>
      </c>
      <c r="F77" s="11">
        <f t="shared" si="14"/>
        <v>34</v>
      </c>
      <c r="G77" s="12">
        <f t="shared" si="15"/>
        <v>0.525112224318522</v>
      </c>
    </row>
    <row r="78" spans="1:7" x14ac:dyDescent="0.3">
      <c r="A78" t="str">
        <f>Break!A78</f>
        <v>Hyd_Prabha Desikan (1008588)</v>
      </c>
      <c r="B78" s="9" t="str">
        <f t="shared" si="16"/>
        <v>Prabha Desikan</v>
      </c>
      <c r="C78" s="10">
        <f t="shared" si="11"/>
        <v>0.34848379629629628</v>
      </c>
      <c r="D78" s="10">
        <f t="shared" si="12"/>
        <v>0.12767361111111111</v>
      </c>
      <c r="E78" s="10">
        <f t="shared" si="13"/>
        <v>0.17460648148148147</v>
      </c>
      <c r="F78" s="11">
        <f t="shared" si="14"/>
        <v>35</v>
      </c>
      <c r="G78" s="12">
        <f t="shared" si="15"/>
        <v>0.348600086352918</v>
      </c>
    </row>
    <row r="79" spans="1:7" x14ac:dyDescent="0.3">
      <c r="A79" t="str">
        <f>Break!A79</f>
        <v>Hyd_Pramod Tiwari (1008589)</v>
      </c>
      <c r="B79" s="9" t="str">
        <f t="shared" si="16"/>
        <v>Pramod Tiwari</v>
      </c>
      <c r="C79" s="10">
        <f t="shared" si="11"/>
        <v>0.35092592592592592</v>
      </c>
      <c r="D79" s="10">
        <f t="shared" si="12"/>
        <v>0.12086805555555556</v>
      </c>
      <c r="E79" s="10">
        <f t="shared" si="13"/>
        <v>0.18131944444444445</v>
      </c>
      <c r="F79" s="11">
        <f t="shared" si="14"/>
        <v>36</v>
      </c>
      <c r="G79" s="12">
        <f t="shared" si="15"/>
        <v>0.314709762532982</v>
      </c>
    </row>
    <row r="80" spans="1:7" x14ac:dyDescent="0.3">
      <c r="A80" t="str">
        <f>Break!A80</f>
        <v>Hyd_Prasannakumari S (1008590)</v>
      </c>
      <c r="B80" s="9" t="str">
        <f t="shared" si="16"/>
        <v>Prasannakumari S</v>
      </c>
      <c r="C80" s="10">
        <f t="shared" si="11"/>
        <v>0.33891203703703704</v>
      </c>
      <c r="D80" s="10">
        <f t="shared" si="12"/>
        <v>0.21581018518518519</v>
      </c>
      <c r="E80" s="10">
        <f t="shared" si="13"/>
        <v>4.8900462962962965E-2</v>
      </c>
      <c r="F80" s="11">
        <f t="shared" si="14"/>
        <v>37</v>
      </c>
      <c r="G80" s="12">
        <f t="shared" si="15"/>
        <v>0.55600710333993597</v>
      </c>
    </row>
    <row r="81" spans="1:7" x14ac:dyDescent="0.3">
      <c r="A81" t="str">
        <f>Break!A81</f>
        <v>Hyd_Praveen Kumar (1008591)</v>
      </c>
      <c r="B81" s="9" t="str">
        <f t="shared" si="16"/>
        <v>Praveen Kumar</v>
      </c>
      <c r="C81" s="10">
        <f t="shared" si="11"/>
        <v>0.34675925925925927</v>
      </c>
      <c r="D81" s="10">
        <f t="shared" si="12"/>
        <v>0.17275462962962962</v>
      </c>
      <c r="E81" s="10">
        <f t="shared" si="13"/>
        <v>0.10935185185185185</v>
      </c>
      <c r="F81" s="11">
        <f t="shared" si="14"/>
        <v>38</v>
      </c>
      <c r="G81" s="12">
        <f t="shared" si="15"/>
        <v>0.46221628838451301</v>
      </c>
    </row>
    <row r="82" spans="1:7" x14ac:dyDescent="0.3">
      <c r="A82" t="str">
        <f>Break!A82</f>
        <v>Hyd_Rachel Mathew (1008592)</v>
      </c>
      <c r="B82" s="9" t="str">
        <f t="shared" si="16"/>
        <v>Rachel Mathew</v>
      </c>
      <c r="C82" s="10">
        <f t="shared" si="11"/>
        <v>0.3511111111111111</v>
      </c>
      <c r="D82" s="10">
        <f t="shared" si="12"/>
        <v>0.15339120370370371</v>
      </c>
      <c r="E82" s="10">
        <f t="shared" si="13"/>
        <v>0.13890046296296296</v>
      </c>
      <c r="F82" s="11">
        <f t="shared" si="14"/>
        <v>39</v>
      </c>
      <c r="G82" s="12">
        <f t="shared" si="15"/>
        <v>0.39075685654008402</v>
      </c>
    </row>
    <row r="83" spans="1:7" x14ac:dyDescent="0.3">
      <c r="A83" t="str">
        <f>Break!A83</f>
        <v>Hyd_Rachita Anupam (1008593)</v>
      </c>
      <c r="B83" s="9" t="str">
        <f t="shared" si="16"/>
        <v>Rachita Anupam</v>
      </c>
      <c r="C83" s="10">
        <f t="shared" si="11"/>
        <v>0.3447453703703704</v>
      </c>
      <c r="D83" s="10">
        <f t="shared" si="12"/>
        <v>0.21947916666666667</v>
      </c>
      <c r="E83" s="10">
        <f t="shared" si="13"/>
        <v>4.7592592592592596E-2</v>
      </c>
      <c r="F83" s="11">
        <f t="shared" si="14"/>
        <v>40</v>
      </c>
      <c r="G83" s="12">
        <f t="shared" si="15"/>
        <v>0.54713623850130899</v>
      </c>
    </row>
    <row r="84" spans="1:7" x14ac:dyDescent="0.3">
      <c r="A84" t="str">
        <f>Break!A84</f>
        <v>Hyd_Rachna Chauhan (1008594)</v>
      </c>
      <c r="B84" s="9" t="str">
        <f t="shared" si="16"/>
        <v>Rachna Chauhan</v>
      </c>
      <c r="C84" s="10">
        <f t="shared" si="11"/>
        <v>0.3167476851851852</v>
      </c>
      <c r="D84" s="10">
        <f t="shared" si="12"/>
        <v>0.21346064814814814</v>
      </c>
      <c r="E84" s="10">
        <f t="shared" si="13"/>
        <v>2.1064814814814814E-2</v>
      </c>
      <c r="F84" s="11">
        <f t="shared" si="14"/>
        <v>41</v>
      </c>
      <c r="G84" s="12">
        <f t="shared" si="15"/>
        <v>0.61457229509993805</v>
      </c>
    </row>
    <row r="85" spans="1:7" x14ac:dyDescent="0.3">
      <c r="A85" t="str">
        <f>Break!A85</f>
        <v>Hyd_Raj Kumar (1008595)</v>
      </c>
      <c r="B85" s="9" t="str">
        <f t="shared" si="16"/>
        <v>Raj Kumar</v>
      </c>
      <c r="C85" s="10">
        <f t="shared" si="11"/>
        <v>0.34024305555555556</v>
      </c>
      <c r="D85" s="10">
        <f t="shared" si="12"/>
        <v>0.21100694444444446</v>
      </c>
      <c r="E85" s="10">
        <f t="shared" si="13"/>
        <v>4.7731481481481479E-2</v>
      </c>
      <c r="F85" s="11">
        <f t="shared" si="14"/>
        <v>42</v>
      </c>
      <c r="G85" s="12">
        <f t="shared" si="15"/>
        <v>0.55335578460387103</v>
      </c>
    </row>
    <row r="86" spans="1:7" x14ac:dyDescent="0.3">
      <c r="A86" t="str">
        <f>Break!A86</f>
        <v>Hyd_Rajeev Garg (1008596)</v>
      </c>
      <c r="B86" s="9" t="str">
        <f t="shared" si="16"/>
        <v>Rajeev Garg</v>
      </c>
      <c r="C86" s="10">
        <f t="shared" si="11"/>
        <v>0.33611111111111114</v>
      </c>
      <c r="D86" s="10">
        <f t="shared" si="12"/>
        <v>0.21214120370370371</v>
      </c>
      <c r="E86" s="10">
        <f t="shared" si="13"/>
        <v>4.7500000000000001E-2</v>
      </c>
      <c r="F86" s="11">
        <f t="shared" si="14"/>
        <v>43</v>
      </c>
      <c r="G86" s="12">
        <f t="shared" si="15"/>
        <v>0.611363636363636</v>
      </c>
    </row>
    <row r="87" spans="1:7" x14ac:dyDescent="0.3">
      <c r="A87" t="str">
        <f>Break!A87</f>
        <v>Hyd_Rajeev Kumar (1008597)</v>
      </c>
      <c r="B87" s="9" t="str">
        <f t="shared" si="16"/>
        <v>Rajeev Kumar</v>
      </c>
      <c r="C87" s="10">
        <f t="shared" si="11"/>
        <v>0.3331365740740741</v>
      </c>
      <c r="D87" s="10">
        <f t="shared" si="12"/>
        <v>0.18670138888888888</v>
      </c>
      <c r="E87" s="10">
        <f t="shared" si="13"/>
        <v>6.7430555555555549E-2</v>
      </c>
      <c r="F87" s="11">
        <f t="shared" si="14"/>
        <v>44</v>
      </c>
      <c r="G87" s="12">
        <f t="shared" si="15"/>
        <v>0.51217732689434703</v>
      </c>
    </row>
    <row r="88" spans="1:7" x14ac:dyDescent="0.3">
      <c r="A88" t="str">
        <f>Break!A88</f>
        <v>Hyd_Rajendra Gupta (1008598)</v>
      </c>
      <c r="B88" s="9" t="str">
        <f t="shared" si="16"/>
        <v>Rajendra Gupta</v>
      </c>
      <c r="C88" s="10">
        <f t="shared" si="11"/>
        <v>0.35135416666666669</v>
      </c>
      <c r="D88" s="10">
        <f t="shared" si="12"/>
        <v>0.20708333333333334</v>
      </c>
      <c r="E88" s="10">
        <f t="shared" si="13"/>
        <v>5.4953703703703706E-2</v>
      </c>
      <c r="F88" s="11">
        <f t="shared" si="14"/>
        <v>45</v>
      </c>
      <c r="G88" s="12">
        <f t="shared" si="15"/>
        <v>0.56029910728991705</v>
      </c>
    </row>
    <row r="89" spans="1:7" x14ac:dyDescent="0.3">
      <c r="A89" t="str">
        <f>Break!A89</f>
        <v>Hyd_Rajendra Kumar (1008599)</v>
      </c>
      <c r="B89" s="9" t="str">
        <f t="shared" si="16"/>
        <v>Rajendra Kumar</v>
      </c>
      <c r="C89" s="10">
        <f t="shared" si="11"/>
        <v>0.34356481481481482</v>
      </c>
      <c r="D89" s="10">
        <f t="shared" si="12"/>
        <v>0.16344907407407408</v>
      </c>
      <c r="E89" s="10">
        <f t="shared" si="13"/>
        <v>0.10712962962962963</v>
      </c>
      <c r="F89" s="11">
        <f t="shared" si="14"/>
        <v>46</v>
      </c>
      <c r="G89" s="12">
        <f t="shared" si="15"/>
        <v>0.42891793558819602</v>
      </c>
    </row>
    <row r="90" spans="1:7" x14ac:dyDescent="0.3">
      <c r="A90" t="str">
        <f>Break!A90</f>
        <v>Hyd_Rajendra Prasad (1008600)</v>
      </c>
      <c r="B90" s="9" t="str">
        <f t="shared" si="16"/>
        <v>Rajendra Prasad</v>
      </c>
      <c r="C90" s="10">
        <f t="shared" si="11"/>
        <v>0.34900462962962964</v>
      </c>
      <c r="D90" s="10">
        <f t="shared" si="12"/>
        <v>3.3715277777777775E-2</v>
      </c>
      <c r="E90" s="10">
        <f t="shared" si="13"/>
        <v>0.29744212962962963</v>
      </c>
      <c r="F90" s="11">
        <f t="shared" si="14"/>
        <v>47</v>
      </c>
      <c r="G90" s="12">
        <f t="shared" si="15"/>
        <v>9.4547987000066294E-2</v>
      </c>
    </row>
    <row r="91" spans="1:7" x14ac:dyDescent="0.3">
      <c r="A91" t="str">
        <f>Break!A91</f>
        <v>Hyd_Rajesh Kumar (1008601)</v>
      </c>
      <c r="B91" s="9" t="str">
        <f t="shared" si="16"/>
        <v>Rajesh Kumar</v>
      </c>
      <c r="C91" s="10">
        <f t="shared" si="11"/>
        <v>0.33378472222222222</v>
      </c>
      <c r="D91" s="10">
        <f t="shared" si="12"/>
        <v>0.21655092592592592</v>
      </c>
      <c r="E91" s="10">
        <f t="shared" si="13"/>
        <v>5.0046296296296297E-2</v>
      </c>
      <c r="F91" s="11">
        <f t="shared" si="14"/>
        <v>48</v>
      </c>
      <c r="G91" s="12">
        <f t="shared" si="15"/>
        <v>0.61021533340268397</v>
      </c>
    </row>
    <row r="92" spans="1:7" x14ac:dyDescent="0.3">
      <c r="A92" t="str">
        <f>Break!A92</f>
        <v>Hyd_Rajesh Kumar (1008602)</v>
      </c>
      <c r="B92" s="9" t="str">
        <f t="shared" si="16"/>
        <v>Rajesh Kumar</v>
      </c>
      <c r="C92" s="10">
        <f t="shared" si="11"/>
        <v>0.34559027777777779</v>
      </c>
      <c r="D92" s="10">
        <f t="shared" si="12"/>
        <v>0.2011574074074074</v>
      </c>
      <c r="E92" s="10">
        <f t="shared" si="13"/>
        <v>8.790509259259259E-2</v>
      </c>
      <c r="F92" s="11">
        <f t="shared" si="14"/>
        <v>49</v>
      </c>
      <c r="G92" s="12">
        <f t="shared" si="15"/>
        <v>0.51260926353863201</v>
      </c>
    </row>
    <row r="93" spans="1:7" x14ac:dyDescent="0.3">
      <c r="A93" t="str">
        <f>Break!A93</f>
        <v>Hyd_Rajesh Sharma (1008603)</v>
      </c>
      <c r="B93" s="9" t="str">
        <f t="shared" si="16"/>
        <v>Rajesh Sharma</v>
      </c>
      <c r="C93" s="10">
        <f t="shared" si="11"/>
        <v>0.2114699074074074</v>
      </c>
      <c r="D93" s="10">
        <f t="shared" si="12"/>
        <v>0.14190972222222223</v>
      </c>
      <c r="E93" s="10">
        <f t="shared" si="13"/>
        <v>1.6979166666666667E-2</v>
      </c>
      <c r="F93" s="11">
        <f t="shared" si="14"/>
        <v>50</v>
      </c>
      <c r="G93" s="12">
        <f t="shared" si="15"/>
        <v>0.62426796562859199</v>
      </c>
    </row>
    <row r="94" spans="1:7" x14ac:dyDescent="0.3">
      <c r="A94" t="str">
        <f>Break!A94</f>
        <v>Hyd_Raji Abraham (1008604)</v>
      </c>
      <c r="B94" s="9" t="str">
        <f t="shared" si="16"/>
        <v>Raji Abraham</v>
      </c>
      <c r="C94" s="10">
        <f t="shared" si="11"/>
        <v>0.34075231481481483</v>
      </c>
      <c r="D94" s="10">
        <f t="shared" si="12"/>
        <v>0.19762731481481483</v>
      </c>
      <c r="E94" s="10">
        <f t="shared" si="13"/>
        <v>4.8240740740740744E-2</v>
      </c>
      <c r="F94" s="11">
        <f t="shared" si="14"/>
        <v>51</v>
      </c>
      <c r="G94" s="12">
        <f t="shared" si="15"/>
        <v>0.54373153085832704</v>
      </c>
    </row>
    <row r="95" spans="1:7" x14ac:dyDescent="0.3">
      <c r="A95" t="str">
        <f>Break!A95</f>
        <v>Hyd_Rajshree Dhabekar (1008605)</v>
      </c>
      <c r="B95" s="9" t="str">
        <f t="shared" si="16"/>
        <v>Rajshree Dhabekar</v>
      </c>
      <c r="C95" s="10">
        <f t="shared" si="11"/>
        <v>0.34390046296296295</v>
      </c>
      <c r="D95" s="10" t="e">
        <f t="shared" si="12"/>
        <v>#VALUE!</v>
      </c>
      <c r="E95" s="10">
        <f t="shared" si="13"/>
        <v>0.34385416666666668</v>
      </c>
      <c r="F95" s="11">
        <f t="shared" si="14"/>
        <v>52</v>
      </c>
      <c r="G95" s="12">
        <f t="shared" si="15"/>
        <v>0</v>
      </c>
    </row>
    <row r="96" spans="1:7" x14ac:dyDescent="0.3">
      <c r="A96" t="str">
        <f>Break!A96</f>
        <v>Hyd_Rakhi Jodhani (1008606)</v>
      </c>
      <c r="B96" s="9" t="str">
        <f t="shared" si="16"/>
        <v>Rakhi Jodhani</v>
      </c>
      <c r="C96" s="10">
        <f t="shared" si="11"/>
        <v>0.33532407407407405</v>
      </c>
      <c r="D96" s="10">
        <f t="shared" si="12"/>
        <v>5.0763888888888886E-2</v>
      </c>
      <c r="E96" s="10">
        <f t="shared" si="13"/>
        <v>0.27759259259259261</v>
      </c>
      <c r="F96" s="11">
        <f t="shared" si="14"/>
        <v>53</v>
      </c>
      <c r="G96" s="12">
        <f t="shared" si="15"/>
        <v>0.14431174927516199</v>
      </c>
    </row>
    <row r="97" spans="1:7" x14ac:dyDescent="0.3">
      <c r="A97" t="str">
        <f>Break!A97</f>
        <v>Hyd_Ramji Prasad (1008607)</v>
      </c>
      <c r="B97" s="9" t="str">
        <f t="shared" si="16"/>
        <v>Ramji Prasad</v>
      </c>
      <c r="C97" s="10">
        <f t="shared" si="11"/>
        <v>0.34682870370370372</v>
      </c>
      <c r="D97" s="10">
        <f t="shared" si="12"/>
        <v>0.20351851851851852</v>
      </c>
      <c r="E97" s="10">
        <f t="shared" si="13"/>
        <v>5.122685185185185E-2</v>
      </c>
      <c r="F97" s="11">
        <f t="shared" si="14"/>
        <v>54</v>
      </c>
      <c r="G97" s="12">
        <f t="shared" si="15"/>
        <v>0.55259293866381898</v>
      </c>
    </row>
    <row r="98" spans="1:7" x14ac:dyDescent="0.3">
      <c r="A98" t="str">
        <f>Break!A98</f>
        <v>Del_Rashid (1008608)</v>
      </c>
      <c r="B98" s="9" t="str">
        <f t="shared" si="16"/>
        <v>Rashid</v>
      </c>
      <c r="C98" s="10">
        <f t="shared" ref="C98:C129" si="17">TIMEVALUE(VLOOKUP(A98,EData,2,0))</f>
        <v>0.33483796296296298</v>
      </c>
      <c r="D98" s="10">
        <f t="shared" ref="D98:D129" si="18">TIMEVALUE(VLOOKUP(A98,EData,3,0))</f>
        <v>6.6759259259259254E-2</v>
      </c>
      <c r="E98" s="10">
        <f t="shared" ref="E98:E129" si="19">TIMEVALUE(VLOOKUP(A98,BData,9,0))</f>
        <v>0.23973379629629629</v>
      </c>
      <c r="F98" s="11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 x14ac:dyDescent="0.3">
      <c r="A99" t="str">
        <f>Break!A99</f>
        <v>Del_Rashmi Gajbe (1008609)</v>
      </c>
      <c r="B99" s="9" t="str">
        <f t="shared" si="16"/>
        <v>Rashmi Gajbe</v>
      </c>
      <c r="C99" s="10">
        <f t="shared" si="17"/>
        <v>0.34770833333333334</v>
      </c>
      <c r="D99" s="10">
        <f t="shared" si="18"/>
        <v>0.1784375</v>
      </c>
      <c r="E99" s="10">
        <f t="shared" si="19"/>
        <v>8.6782407407407405E-2</v>
      </c>
      <c r="F99" s="11">
        <f t="shared" si="20"/>
        <v>56</v>
      </c>
      <c r="G99" s="12">
        <f t="shared" si="21"/>
        <v>0.47077424938419499</v>
      </c>
    </row>
    <row r="100" spans="1:7" x14ac:dyDescent="0.3">
      <c r="A100" t="str">
        <f>Break!A100</f>
        <v>Del_Ravi Kumar (1008610)</v>
      </c>
      <c r="B100" s="9" t="str">
        <f t="shared" si="16"/>
        <v>Ravi Kumar</v>
      </c>
      <c r="C100" s="10">
        <f t="shared" si="17"/>
        <v>0.33384259259259258</v>
      </c>
      <c r="D100" s="10">
        <f t="shared" si="18"/>
        <v>0.19934027777777777</v>
      </c>
      <c r="E100" s="10">
        <f t="shared" si="19"/>
        <v>4.9467592592592591E-2</v>
      </c>
      <c r="F100" s="11">
        <f t="shared" si="20"/>
        <v>57</v>
      </c>
      <c r="G100" s="12">
        <f t="shared" si="21"/>
        <v>0.53862155040909698</v>
      </c>
    </row>
    <row r="101" spans="1:7" x14ac:dyDescent="0.3">
      <c r="A101" t="str">
        <f>Break!A101</f>
        <v>Del_Ravinder Kaur (1008611)</v>
      </c>
      <c r="B101" s="9" t="str">
        <f t="shared" si="16"/>
        <v>Ravinder Kaur</v>
      </c>
      <c r="C101" s="10">
        <f t="shared" si="17"/>
        <v>0.3346412037037037</v>
      </c>
      <c r="D101" s="10">
        <f t="shared" si="18"/>
        <v>0.19371527777777778</v>
      </c>
      <c r="E101" s="10">
        <f t="shared" si="19"/>
        <v>4.8240740740740744E-2</v>
      </c>
      <c r="F101" s="11">
        <f t="shared" si="20"/>
        <v>58</v>
      </c>
      <c r="G101" s="12">
        <f t="shared" si="21"/>
        <v>0.53294365856189296</v>
      </c>
    </row>
    <row r="102" spans="1:7" x14ac:dyDescent="0.3">
      <c r="A102" t="str">
        <f>Break!A102</f>
        <v>Del_Rekha Agarwal (1008612)</v>
      </c>
      <c r="B102" s="9" t="str">
        <f t="shared" si="16"/>
        <v>Rekha Agarwal</v>
      </c>
      <c r="C102" s="10">
        <f t="shared" si="17"/>
        <v>0.24574074074074073</v>
      </c>
      <c r="D102" s="10">
        <f t="shared" si="18"/>
        <v>0.12021990740740741</v>
      </c>
      <c r="E102" s="10">
        <f t="shared" si="19"/>
        <v>0.11229166666666666</v>
      </c>
      <c r="F102" s="11">
        <f t="shared" si="20"/>
        <v>59</v>
      </c>
      <c r="G102" s="12">
        <f t="shared" si="21"/>
        <v>0.41310286360211002</v>
      </c>
    </row>
    <row r="103" spans="1:7" x14ac:dyDescent="0.3">
      <c r="A103" t="str">
        <f>Break!A103</f>
        <v>Del_Rekha Gupta (1008613)</v>
      </c>
      <c r="B103" s="9" t="str">
        <f t="shared" si="16"/>
        <v>Rekha Gupta</v>
      </c>
      <c r="C103" s="10">
        <f t="shared" si="17"/>
        <v>0.34446759259259258</v>
      </c>
      <c r="D103" s="10">
        <f t="shared" si="18"/>
        <v>0.18254629629629629</v>
      </c>
      <c r="E103" s="10">
        <f t="shared" si="19"/>
        <v>7.6817129629629624E-2</v>
      </c>
      <c r="F103" s="11">
        <f t="shared" si="20"/>
        <v>60</v>
      </c>
      <c r="G103" s="12">
        <f t="shared" si="21"/>
        <v>0.50483838451717</v>
      </c>
    </row>
    <row r="104" spans="1:7" x14ac:dyDescent="0.3">
      <c r="A104" t="str">
        <f>Break!A104</f>
        <v>Del_Rekha Jain  (1008614)</v>
      </c>
      <c r="B104" s="9" t="str">
        <f t="shared" si="16"/>
        <v xml:space="preserve">Rekha Jain </v>
      </c>
      <c r="C104" s="10">
        <f t="shared" si="17"/>
        <v>0.34423611111111113</v>
      </c>
      <c r="D104" s="10">
        <f t="shared" si="18"/>
        <v>0.18436342592592592</v>
      </c>
      <c r="E104" s="10">
        <f t="shared" si="19"/>
        <v>6.7326388888888894E-2</v>
      </c>
      <c r="F104" s="11">
        <f t="shared" si="20"/>
        <v>61</v>
      </c>
      <c r="G104" s="12">
        <f t="shared" si="21"/>
        <v>0.52390558805729304</v>
      </c>
    </row>
    <row r="105" spans="1:7" x14ac:dyDescent="0.3">
      <c r="A105" t="str">
        <f>Break!A105</f>
        <v>Del_Renu Pratap (1008615)</v>
      </c>
      <c r="B105" s="9" t="str">
        <f t="shared" si="16"/>
        <v>Renu Pratap</v>
      </c>
      <c r="C105" s="10">
        <f t="shared" si="17"/>
        <v>0.34479166666666666</v>
      </c>
      <c r="D105" s="10">
        <f t="shared" si="18"/>
        <v>0.10450231481481481</v>
      </c>
      <c r="E105" s="10">
        <f t="shared" si="19"/>
        <v>0.21383101851851852</v>
      </c>
      <c r="F105" s="11">
        <f t="shared" si="20"/>
        <v>62</v>
      </c>
      <c r="G105" s="12">
        <f t="shared" si="21"/>
        <v>0.25444780127559602</v>
      </c>
    </row>
    <row r="106" spans="1:7" x14ac:dyDescent="0.3">
      <c r="A106" t="str">
        <f>Break!A106</f>
        <v>Del_Ritu Bhatnagar (1008616)</v>
      </c>
      <c r="B106" s="9" t="str">
        <f t="shared" si="16"/>
        <v>Ritu Bhatnagar</v>
      </c>
      <c r="C106" s="10">
        <f t="shared" si="17"/>
        <v>0.33458333333333334</v>
      </c>
      <c r="D106" s="10">
        <f t="shared" si="18"/>
        <v>0.20292824074074073</v>
      </c>
      <c r="E106" s="10">
        <f t="shared" si="19"/>
        <v>5.0925925925925923E-2</v>
      </c>
      <c r="F106" s="11">
        <f t="shared" si="20"/>
        <v>63</v>
      </c>
      <c r="G106" s="12">
        <f t="shared" si="21"/>
        <v>0.55517503805174995</v>
      </c>
    </row>
    <row r="107" spans="1:7" x14ac:dyDescent="0.3">
      <c r="A107" t="str">
        <f>Break!A107</f>
        <v>Del_Rohit Nishchal (1008617)</v>
      </c>
      <c r="B107" s="9" t="str">
        <f t="shared" si="16"/>
        <v>Rohit Nishchal</v>
      </c>
      <c r="C107" s="10">
        <f t="shared" si="17"/>
        <v>0.34524305555555557</v>
      </c>
      <c r="D107" s="10" t="e">
        <f t="shared" si="18"/>
        <v>#VALUE!</v>
      </c>
      <c r="E107" s="10">
        <f t="shared" si="19"/>
        <v>0.34513888888888888</v>
      </c>
      <c r="F107" s="11">
        <f t="shared" si="20"/>
        <v>64</v>
      </c>
      <c r="G107" s="12">
        <f t="shared" si="21"/>
        <v>0</v>
      </c>
    </row>
    <row r="108" spans="1:7" x14ac:dyDescent="0.3">
      <c r="A108" t="str">
        <f>Break!A108</f>
        <v>Del_Roli Bhatnagar (1008618)</v>
      </c>
      <c r="B108" s="9" t="str">
        <f t="shared" si="16"/>
        <v>Roli Bhatnagar</v>
      </c>
      <c r="C108" s="10">
        <f t="shared" si="17"/>
        <v>0.34424768518518517</v>
      </c>
      <c r="D108" s="10">
        <f t="shared" si="18"/>
        <v>0.17256944444444444</v>
      </c>
      <c r="E108" s="10">
        <f t="shared" si="19"/>
        <v>9.0462962962962967E-2</v>
      </c>
      <c r="F108" s="11">
        <f t="shared" si="20"/>
        <v>65</v>
      </c>
      <c r="G108" s="12">
        <f t="shared" si="21"/>
        <v>0.477120667047709</v>
      </c>
    </row>
    <row r="109" spans="1:7" x14ac:dyDescent="0.3">
      <c r="A109" t="str">
        <f>Break!A109</f>
        <v>Del_Roma Rastogi (1008619)</v>
      </c>
      <c r="B109" s="9" t="str">
        <f t="shared" si="16"/>
        <v>Roma Rastogi</v>
      </c>
      <c r="C109" s="10">
        <f t="shared" si="17"/>
        <v>0.35488425925925926</v>
      </c>
      <c r="D109" s="10">
        <f t="shared" si="18"/>
        <v>0.2330787037037037</v>
      </c>
      <c r="E109" s="10">
        <f t="shared" si="19"/>
        <v>3.7349537037037035E-2</v>
      </c>
      <c r="F109" s="11">
        <f t="shared" si="20"/>
        <v>66</v>
      </c>
      <c r="G109" s="12">
        <f t="shared" si="21"/>
        <v>0.61917030852521004</v>
      </c>
    </row>
    <row r="110" spans="1:7" x14ac:dyDescent="0.3">
      <c r="A110" t="str">
        <f>Break!A110</f>
        <v>Del_Roohi Haider (1008620)</v>
      </c>
      <c r="B110" s="9" t="str">
        <f t="shared" si="16"/>
        <v>Roohi Haider</v>
      </c>
      <c r="C110" s="10">
        <f t="shared" si="17"/>
        <v>0.33346064814814813</v>
      </c>
      <c r="D110" s="10">
        <f t="shared" si="18"/>
        <v>0.2029050925925926</v>
      </c>
      <c r="E110" s="10">
        <f t="shared" si="19"/>
        <v>4.8194444444444443E-2</v>
      </c>
      <c r="F110" s="11">
        <f t="shared" si="20"/>
        <v>67</v>
      </c>
      <c r="G110" s="12">
        <f t="shared" si="21"/>
        <v>0.55305265350039901</v>
      </c>
    </row>
    <row r="111" spans="1:7" x14ac:dyDescent="0.3">
      <c r="A111" t="str">
        <f>Break!A111</f>
        <v>Del_Sajid Naqvi (1008621)</v>
      </c>
      <c r="B111" s="9" t="str">
        <f t="shared" si="16"/>
        <v>Sajid Naqvi</v>
      </c>
      <c r="C111" s="10">
        <f t="shared" si="17"/>
        <v>0.34430555555555553</v>
      </c>
      <c r="D111" s="10">
        <f t="shared" si="18"/>
        <v>0.20876157407407409</v>
      </c>
      <c r="E111" s="10">
        <f t="shared" si="19"/>
        <v>4.7685185185185185E-2</v>
      </c>
      <c r="F111" s="11">
        <f t="shared" si="20"/>
        <v>68</v>
      </c>
      <c r="G111" s="12">
        <f t="shared" si="21"/>
        <v>0.56195374478956595</v>
      </c>
    </row>
    <row r="112" spans="1:7" x14ac:dyDescent="0.3">
      <c r="A112" t="str">
        <f>Break!A112</f>
        <v>Del_Salim (1008622)</v>
      </c>
      <c r="B112" s="9" t="str">
        <f t="shared" si="16"/>
        <v>Salim</v>
      </c>
      <c r="C112" s="10">
        <f t="shared" si="17"/>
        <v>0.34439814814814818</v>
      </c>
      <c r="D112" s="10">
        <f t="shared" si="18"/>
        <v>0.19284722222222223</v>
      </c>
      <c r="E112" s="10">
        <f t="shared" si="19"/>
        <v>8.2974537037037041E-2</v>
      </c>
      <c r="F112" s="11">
        <f t="shared" si="20"/>
        <v>69</v>
      </c>
      <c r="G112" s="12">
        <f t="shared" si="21"/>
        <v>0.48780077967468699</v>
      </c>
    </row>
    <row r="113" spans="1:7" x14ac:dyDescent="0.3">
      <c r="A113" t="str">
        <f>Break!A113</f>
        <v>Del_Sanjay Hire (1008623)</v>
      </c>
      <c r="B113" s="9" t="str">
        <f t="shared" si="16"/>
        <v>Sanjay Hire</v>
      </c>
      <c r="C113" s="10">
        <f t="shared" si="17"/>
        <v>0.34435185185185185</v>
      </c>
      <c r="D113" s="10">
        <f t="shared" si="18"/>
        <v>0.20849537037037036</v>
      </c>
      <c r="E113" s="10">
        <f t="shared" si="19"/>
        <v>4.8414351851851854E-2</v>
      </c>
      <c r="F113" s="11">
        <f t="shared" si="20"/>
        <v>70</v>
      </c>
      <c r="G113" s="12">
        <f t="shared" si="21"/>
        <v>0.55414762032804499</v>
      </c>
    </row>
    <row r="114" spans="1:7" x14ac:dyDescent="0.3">
      <c r="A114" t="str">
        <f>Break!A114</f>
        <v>Del_Sanjiv Subherwal (1008624)</v>
      </c>
      <c r="B114" s="9" t="str">
        <f t="shared" si="16"/>
        <v>Sanjiv Subherwal</v>
      </c>
      <c r="C114" s="10">
        <f t="shared" si="17"/>
        <v>0.33491898148148147</v>
      </c>
      <c r="D114" s="10">
        <f t="shared" si="18"/>
        <v>0.21258101851851852</v>
      </c>
      <c r="E114" s="10">
        <f t="shared" si="19"/>
        <v>4.8784722222222222E-2</v>
      </c>
      <c r="F114" s="11">
        <f t="shared" si="20"/>
        <v>71</v>
      </c>
      <c r="G114" s="12">
        <f t="shared" si="21"/>
        <v>0.58651553374572396</v>
      </c>
    </row>
    <row r="115" spans="1:7" x14ac:dyDescent="0.3">
      <c r="A115" t="str">
        <f>Break!A115</f>
        <v>Del_Sanju Ramdas (1008625)</v>
      </c>
      <c r="B115" s="9" t="str">
        <f t="shared" si="16"/>
        <v>Sanju Ramdas</v>
      </c>
      <c r="C115" s="10">
        <f t="shared" si="17"/>
        <v>0.34442129629629631</v>
      </c>
      <c r="D115" s="10">
        <f t="shared" si="18"/>
        <v>0.22203703703703703</v>
      </c>
      <c r="E115" s="10">
        <f t="shared" si="19"/>
        <v>5.1342592592592592E-2</v>
      </c>
      <c r="F115" s="11">
        <f t="shared" si="20"/>
        <v>72</v>
      </c>
      <c r="G115" s="12">
        <f t="shared" si="21"/>
        <v>0.58165871362322696</v>
      </c>
    </row>
    <row r="116" spans="1:7" x14ac:dyDescent="0.3">
      <c r="A116" t="str">
        <f>Break!A116</f>
        <v>Del_Santosh Kumar (1008626)</v>
      </c>
      <c r="B116" s="9" t="str">
        <f t="shared" si="16"/>
        <v>Santosh Kumar</v>
      </c>
      <c r="C116" s="10">
        <f t="shared" si="17"/>
        <v>0.33370370370370372</v>
      </c>
      <c r="D116" s="10">
        <f t="shared" si="18"/>
        <v>0.21053240740740742</v>
      </c>
      <c r="E116" s="10">
        <f t="shared" si="19"/>
        <v>4.8472222222222222E-2</v>
      </c>
      <c r="F116" s="11">
        <f t="shared" si="20"/>
        <v>73</v>
      </c>
      <c r="G116" s="12">
        <f t="shared" si="21"/>
        <v>0.59073251942286398</v>
      </c>
    </row>
    <row r="117" spans="1:7" x14ac:dyDescent="0.3">
      <c r="A117" t="str">
        <f>Break!A117</f>
        <v>Del_Santosh Kumar (1008627)</v>
      </c>
      <c r="B117" s="9" t="str">
        <f t="shared" si="16"/>
        <v>Santosh Kumar</v>
      </c>
      <c r="C117" s="10">
        <f t="shared" si="17"/>
        <v>0.34518518518518521</v>
      </c>
      <c r="D117" s="10">
        <f t="shared" si="18"/>
        <v>0.21524305555555556</v>
      </c>
      <c r="E117" s="10">
        <f t="shared" si="19"/>
        <v>4.9282407407407407E-2</v>
      </c>
      <c r="F117" s="11">
        <f t="shared" si="20"/>
        <v>74</v>
      </c>
      <c r="G117" s="12">
        <f t="shared" si="21"/>
        <v>0.58640692060085797</v>
      </c>
    </row>
    <row r="118" spans="1:7" x14ac:dyDescent="0.3">
      <c r="A118" t="str">
        <f>Break!A118</f>
        <v>Del_Santosh Kumar (1008628)</v>
      </c>
      <c r="B118" s="9" t="str">
        <f t="shared" si="16"/>
        <v>Santosh Kumar</v>
      </c>
      <c r="C118" s="10">
        <f t="shared" si="17"/>
        <v>0.3354050925925926</v>
      </c>
      <c r="D118" s="10">
        <f t="shared" si="18"/>
        <v>0.19744212962962962</v>
      </c>
      <c r="E118" s="10">
        <f t="shared" si="19"/>
        <v>5.0011574074074076E-2</v>
      </c>
      <c r="F118" s="11">
        <f t="shared" si="20"/>
        <v>75</v>
      </c>
      <c r="G118" s="12">
        <f t="shared" si="21"/>
        <v>0.54653369681493502</v>
      </c>
    </row>
    <row r="119" spans="1:7" x14ac:dyDescent="0.3">
      <c r="A119" t="str">
        <f>Break!A119</f>
        <v>Del_Sapna Sharma (1008629)</v>
      </c>
      <c r="B119" s="9" t="str">
        <f t="shared" si="16"/>
        <v>Sapna Sharma</v>
      </c>
      <c r="C119" s="10">
        <f t="shared" si="17"/>
        <v>0.33627314814814813</v>
      </c>
      <c r="D119" s="10">
        <f t="shared" si="18"/>
        <v>0.18991898148148148</v>
      </c>
      <c r="E119" s="10">
        <f t="shared" si="19"/>
        <v>6.4317129629629627E-2</v>
      </c>
      <c r="F119" s="11">
        <f t="shared" si="20"/>
        <v>76</v>
      </c>
      <c r="G119" s="12">
        <f t="shared" si="21"/>
        <v>0.53238796723342696</v>
      </c>
    </row>
    <row r="120" spans="1:7" x14ac:dyDescent="0.3">
      <c r="A120" t="str">
        <f>Break!A120</f>
        <v>Del_Saroj Parita (1008630)</v>
      </c>
      <c r="B120" s="9" t="str">
        <f t="shared" si="16"/>
        <v>Saroj Parita</v>
      </c>
      <c r="C120" s="10">
        <f t="shared" si="17"/>
        <v>0.33471064814814816</v>
      </c>
      <c r="D120" s="10">
        <f t="shared" si="18"/>
        <v>0.18868055555555555</v>
      </c>
      <c r="E120" s="10">
        <f t="shared" si="19"/>
        <v>7.3344907407407414E-2</v>
      </c>
      <c r="F120" s="11">
        <f t="shared" si="20"/>
        <v>77</v>
      </c>
      <c r="G120" s="12">
        <f t="shared" si="21"/>
        <v>0.47020989660776702</v>
      </c>
    </row>
    <row r="121" spans="1:7" x14ac:dyDescent="0.3">
      <c r="A121" t="str">
        <f>Break!A121</f>
        <v>Del_Shailaja Kamal (1008631)</v>
      </c>
      <c r="B121" s="9" t="str">
        <f t="shared" si="16"/>
        <v>Shailaja Kamal</v>
      </c>
      <c r="C121" s="10">
        <f t="shared" si="17"/>
        <v>0.33974537037037039</v>
      </c>
      <c r="D121" s="10">
        <f t="shared" si="18"/>
        <v>0.20261574074074074</v>
      </c>
      <c r="E121" s="10">
        <f t="shared" si="19"/>
        <v>4.7754629629629633E-2</v>
      </c>
      <c r="F121" s="11">
        <f t="shared" si="20"/>
        <v>78</v>
      </c>
      <c r="G121" s="12">
        <f t="shared" si="21"/>
        <v>0.54633099407235797</v>
      </c>
    </row>
    <row r="122" spans="1:7" x14ac:dyDescent="0.3">
      <c r="A122" t="str">
        <f>Break!A122</f>
        <v>Del_Shailendra Barge (1008632)</v>
      </c>
      <c r="B122" s="9" t="str">
        <f t="shared" si="16"/>
        <v>Shailendra Barge</v>
      </c>
      <c r="C122" s="10">
        <f t="shared" si="17"/>
        <v>0.34557870370370369</v>
      </c>
      <c r="D122" s="10">
        <f t="shared" si="18"/>
        <v>0.14315972222222223</v>
      </c>
      <c r="E122" s="10">
        <f t="shared" si="19"/>
        <v>0.15493055555555554</v>
      </c>
      <c r="F122" s="11">
        <f t="shared" si="20"/>
        <v>79</v>
      </c>
      <c r="G122" s="12">
        <f t="shared" si="21"/>
        <v>0.38820416638756799</v>
      </c>
    </row>
    <row r="123" spans="1:7" x14ac:dyDescent="0.3">
      <c r="A123" t="str">
        <f>Break!A123</f>
        <v>Del_Shankar Attendant (1008633)</v>
      </c>
      <c r="B123" s="9" t="str">
        <f t="shared" si="16"/>
        <v>Shankar Attendant</v>
      </c>
      <c r="C123" s="10">
        <f t="shared" si="17"/>
        <v>0.33189814814814816</v>
      </c>
      <c r="D123" s="10">
        <f t="shared" si="18"/>
        <v>0.1439236111111111</v>
      </c>
      <c r="E123" s="10">
        <f t="shared" si="19"/>
        <v>0.13547453703703705</v>
      </c>
      <c r="F123" s="11">
        <f t="shared" si="20"/>
        <v>80</v>
      </c>
      <c r="G123" s="12">
        <f t="shared" si="21"/>
        <v>0.40277584042404802</v>
      </c>
    </row>
    <row r="124" spans="1:7" x14ac:dyDescent="0.3">
      <c r="A124" t="str">
        <f>Break!A124</f>
        <v>Del_Shashikant Tiwari (1008634)</v>
      </c>
      <c r="B124" s="9" t="str">
        <f t="shared" si="16"/>
        <v>Shashikant Tiwari</v>
      </c>
      <c r="C124" s="10">
        <f t="shared" si="17"/>
        <v>0.34369212962962964</v>
      </c>
      <c r="D124" s="10">
        <f t="shared" si="18"/>
        <v>0.22164351851851852</v>
      </c>
      <c r="E124" s="10">
        <f t="shared" si="19"/>
        <v>4.8599537037037038E-2</v>
      </c>
      <c r="F124" s="11">
        <f t="shared" si="20"/>
        <v>81</v>
      </c>
      <c r="G124" s="12">
        <f t="shared" si="21"/>
        <v>0.54352584610203702</v>
      </c>
    </row>
    <row r="125" spans="1:7" x14ac:dyDescent="0.3">
      <c r="A125" t="str">
        <f>Break!A125</f>
        <v>Del_Sheeba Joseph (1008635)</v>
      </c>
      <c r="B125" s="9" t="str">
        <f t="shared" si="16"/>
        <v>Sheeba Joseph</v>
      </c>
      <c r="C125" s="10">
        <f t="shared" si="17"/>
        <v>0.3548263888888889</v>
      </c>
      <c r="D125" s="10">
        <f t="shared" si="18"/>
        <v>0.15355324074074075</v>
      </c>
      <c r="E125" s="10">
        <f t="shared" si="19"/>
        <v>3.8645833333333331E-2</v>
      </c>
      <c r="F125" s="11">
        <f t="shared" si="20"/>
        <v>82</v>
      </c>
      <c r="G125" s="12">
        <f t="shared" si="21"/>
        <v>0.28371986821932998</v>
      </c>
    </row>
    <row r="126" spans="1:7" x14ac:dyDescent="0.3">
      <c r="A126" t="str">
        <f>Break!A126</f>
        <v>Del_Sheena Joseph (1008636)</v>
      </c>
      <c r="B126" s="9" t="str">
        <f t="shared" si="16"/>
        <v>Sheena Joseph</v>
      </c>
      <c r="C126" s="10">
        <f t="shared" si="17"/>
        <v>0.36775462962962963</v>
      </c>
      <c r="D126" s="10">
        <f t="shared" si="18"/>
        <v>0.21557870370370372</v>
      </c>
      <c r="E126" s="10">
        <f t="shared" si="19"/>
        <v>7.048611111111111E-2</v>
      </c>
      <c r="F126" s="11">
        <f t="shared" si="20"/>
        <v>83</v>
      </c>
      <c r="G126" s="12">
        <f t="shared" si="21"/>
        <v>0.56196890539434796</v>
      </c>
    </row>
    <row r="127" spans="1:7" x14ac:dyDescent="0.3">
      <c r="A127" t="str">
        <f>Break!A127</f>
        <v>Del_Shephali Jain (1008637)</v>
      </c>
      <c r="B127" s="9" t="str">
        <f t="shared" si="16"/>
        <v>Shephali Jain</v>
      </c>
      <c r="C127" s="10">
        <f t="shared" si="17"/>
        <v>0.35119212962962965</v>
      </c>
      <c r="D127" s="10">
        <f t="shared" si="18"/>
        <v>0.15380787037037036</v>
      </c>
      <c r="E127" s="10">
        <f t="shared" si="19"/>
        <v>0.14153935185185185</v>
      </c>
      <c r="F127" s="11">
        <f t="shared" si="20"/>
        <v>84</v>
      </c>
      <c r="G127" s="12">
        <f t="shared" si="21"/>
        <v>0.40332201825791802</v>
      </c>
    </row>
    <row r="128" spans="1:7" x14ac:dyDescent="0.3">
      <c r="A128" t="str">
        <f>Break!A128</f>
        <v>Del_Shivji Prasad (1008638)</v>
      </c>
      <c r="B128" s="9" t="str">
        <f t="shared" si="16"/>
        <v>Shivji Prasad</v>
      </c>
      <c r="C128" s="10">
        <f t="shared" si="17"/>
        <v>0.34143518518518517</v>
      </c>
      <c r="D128" s="10">
        <f t="shared" si="18"/>
        <v>0.17545138888888889</v>
      </c>
      <c r="E128" s="10">
        <f t="shared" si="19"/>
        <v>9.5694444444444443E-2</v>
      </c>
      <c r="F128" s="11">
        <f t="shared" si="20"/>
        <v>85</v>
      </c>
      <c r="G128" s="12">
        <f t="shared" si="21"/>
        <v>0.43796610169491501</v>
      </c>
    </row>
    <row r="129" spans="1:7" x14ac:dyDescent="0.3">
      <c r="A129" t="str">
        <f>Break!A129</f>
        <v>Del_Shubhanjali Joshi (1008639)</v>
      </c>
      <c r="B129" s="9" t="str">
        <f t="shared" si="16"/>
        <v>Shubhanjali Joshi</v>
      </c>
      <c r="C129" s="10">
        <f t="shared" si="17"/>
        <v>0.34533564814814816</v>
      </c>
      <c r="D129" s="10">
        <f t="shared" si="18"/>
        <v>0.20476851851851852</v>
      </c>
      <c r="E129" s="10">
        <f t="shared" si="19"/>
        <v>5.5231481481481479E-2</v>
      </c>
      <c r="F129" s="11">
        <f t="shared" si="20"/>
        <v>86</v>
      </c>
      <c r="G129" s="12">
        <f t="shared" si="21"/>
        <v>0.55581995508931903</v>
      </c>
    </row>
    <row r="130" spans="1:7" x14ac:dyDescent="0.3">
      <c r="A130" t="str">
        <f>Break!A130</f>
        <v>Del_Shyamal Malakar (1008640)</v>
      </c>
      <c r="B130" s="9" t="str">
        <f t="shared" si="16"/>
        <v>Shyamal Malakar</v>
      </c>
      <c r="C130" s="10">
        <f t="shared" ref="C130:C150" si="22">TIMEVALUE(VLOOKUP(A130,EData,2,0))</f>
        <v>0.34416666666666668</v>
      </c>
      <c r="D130" s="10">
        <f t="shared" ref="D130:D150" si="23">TIMEVALUE(VLOOKUP(A130,EData,3,0))</f>
        <v>0.12054398148148149</v>
      </c>
      <c r="E130" s="10">
        <f t="shared" ref="E130:E150" si="24">TIMEVALUE(VLOOKUP(A130,BData,9,0))</f>
        <v>0.19140046296296295</v>
      </c>
      <c r="F130" s="11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 x14ac:dyDescent="0.3">
      <c r="A131" t="str">
        <f>Break!A131</f>
        <v>Del_Sneh Khan (1008641)</v>
      </c>
      <c r="B131" s="9" t="str">
        <f t="shared" ref="B131:B150" si="27">MID(A131,FIND("_",A131,1)+1,FIND("(",A131,1)-FIND("_",A131,1)-2)</f>
        <v>Sneh Khan</v>
      </c>
      <c r="C131" s="10">
        <f t="shared" si="22"/>
        <v>0.33975694444444443</v>
      </c>
      <c r="D131" s="10">
        <f t="shared" si="23"/>
        <v>0.21278935185185185</v>
      </c>
      <c r="E131" s="10">
        <f t="shared" si="24"/>
        <v>4.8506944444444443E-2</v>
      </c>
      <c r="F131" s="11">
        <f t="shared" si="25"/>
        <v>88</v>
      </c>
      <c r="G131" s="12">
        <f t="shared" si="26"/>
        <v>0.57404190086867701</v>
      </c>
    </row>
    <row r="132" spans="1:7" x14ac:dyDescent="0.3">
      <c r="A132" t="str">
        <f>Break!A132</f>
        <v>Del_Sonaram Munda (1008642)</v>
      </c>
      <c r="B132" s="9" t="str">
        <f t="shared" si="27"/>
        <v>Sonaram Munda</v>
      </c>
      <c r="C132" s="10">
        <f t="shared" si="22"/>
        <v>0.33380787037037035</v>
      </c>
      <c r="D132" s="10">
        <f t="shared" si="23"/>
        <v>0.1744212962962963</v>
      </c>
      <c r="E132" s="10">
        <f t="shared" si="24"/>
        <v>8.1423611111111113E-2</v>
      </c>
      <c r="F132" s="11">
        <f t="shared" si="25"/>
        <v>89</v>
      </c>
      <c r="G132" s="12">
        <f t="shared" si="26"/>
        <v>0.45359037481363301</v>
      </c>
    </row>
    <row r="133" spans="1:7" x14ac:dyDescent="0.3">
      <c r="A133" t="str">
        <f>Break!A133</f>
        <v>Del_Sudama Kumar (1008643)</v>
      </c>
      <c r="B133" s="9" t="str">
        <f t="shared" si="27"/>
        <v>Sudama Kumar</v>
      </c>
      <c r="C133" s="10">
        <f t="shared" si="22"/>
        <v>0.34012731481481484</v>
      </c>
      <c r="D133" s="10">
        <f t="shared" si="23"/>
        <v>0.11028935185185185</v>
      </c>
      <c r="E133" s="10">
        <f t="shared" si="24"/>
        <v>0.19189814814814815</v>
      </c>
      <c r="F133" s="11">
        <f t="shared" si="25"/>
        <v>90</v>
      </c>
      <c r="G133" s="12">
        <f t="shared" si="26"/>
        <v>0.29689998979140397</v>
      </c>
    </row>
    <row r="134" spans="1:7" x14ac:dyDescent="0.3">
      <c r="A134" t="str">
        <f>Break!A134</f>
        <v>Del_Sudhir Kumar (1008644)</v>
      </c>
      <c r="B134" s="9" t="str">
        <f t="shared" si="27"/>
        <v>Sudhir Kumar</v>
      </c>
      <c r="C134" s="10">
        <f t="shared" si="22"/>
        <v>0.33354166666666668</v>
      </c>
      <c r="D134" s="10">
        <f t="shared" si="23"/>
        <v>0.19138888888888889</v>
      </c>
      <c r="E134" s="10">
        <f t="shared" si="24"/>
        <v>5.1666666666666666E-2</v>
      </c>
      <c r="F134" s="11">
        <f t="shared" si="25"/>
        <v>91</v>
      </c>
      <c r="G134" s="12">
        <f t="shared" si="26"/>
        <v>0.55729058227496697</v>
      </c>
    </row>
    <row r="135" spans="1:7" x14ac:dyDescent="0.3">
      <c r="A135" t="str">
        <f>Break!A135</f>
        <v>Del_Sunil Kumar (1008645)</v>
      </c>
      <c r="B135" s="9" t="str">
        <f t="shared" si="27"/>
        <v>Sunil Kumar</v>
      </c>
      <c r="C135" s="10">
        <f t="shared" si="22"/>
        <v>0.3357175925925926</v>
      </c>
      <c r="D135" s="10">
        <f t="shared" si="23"/>
        <v>0.12403935185185185</v>
      </c>
      <c r="E135" s="10">
        <f t="shared" si="24"/>
        <v>0.1645486111111111</v>
      </c>
      <c r="F135" s="11">
        <f t="shared" si="25"/>
        <v>92</v>
      </c>
      <c r="G135" s="12">
        <f t="shared" si="26"/>
        <v>0.33279321519685601</v>
      </c>
    </row>
    <row r="136" spans="1:7" x14ac:dyDescent="0.3">
      <c r="A136" t="str">
        <f>Break!A136</f>
        <v>Del_Sunil Kumar (1008646)</v>
      </c>
      <c r="B136" s="9" t="str">
        <f t="shared" si="27"/>
        <v>Sunil Kumar</v>
      </c>
      <c r="C136" s="10">
        <f t="shared" si="22"/>
        <v>0.33687499999999998</v>
      </c>
      <c r="D136" s="10">
        <f t="shared" si="23"/>
        <v>0.17017361111111112</v>
      </c>
      <c r="E136" s="10">
        <f t="shared" si="24"/>
        <v>9.5034722222222229E-2</v>
      </c>
      <c r="F136" s="11">
        <f t="shared" si="25"/>
        <v>93</v>
      </c>
      <c r="G136" s="12">
        <f t="shared" si="26"/>
        <v>0.472308115165258</v>
      </c>
    </row>
    <row r="137" spans="1:7" x14ac:dyDescent="0.3">
      <c r="A137" t="str">
        <f>Break!A137</f>
        <v>Del_Sunita Chawla (1008647)</v>
      </c>
      <c r="B137" s="9" t="str">
        <f t="shared" si="27"/>
        <v>Sunita Chawla</v>
      </c>
      <c r="C137" s="10">
        <f t="shared" si="22"/>
        <v>0.33709490740740738</v>
      </c>
      <c r="D137" s="10">
        <f t="shared" si="23"/>
        <v>0.18885416666666666</v>
      </c>
      <c r="E137" s="10">
        <f t="shared" si="24"/>
        <v>8.7997685185185179E-2</v>
      </c>
      <c r="F137" s="11">
        <f t="shared" si="25"/>
        <v>94</v>
      </c>
      <c r="G137" s="12">
        <f t="shared" si="26"/>
        <v>0.51110729613733896</v>
      </c>
    </row>
    <row r="138" spans="1:7" x14ac:dyDescent="0.3">
      <c r="A138" t="str">
        <f>Break!A138</f>
        <v>Del_Sunita Madnani (1008648)</v>
      </c>
      <c r="B138" s="9" t="str">
        <f t="shared" si="27"/>
        <v>Sunita Madnani</v>
      </c>
      <c r="C138" s="10">
        <f t="shared" si="22"/>
        <v>0.34307870370370369</v>
      </c>
      <c r="D138" s="10">
        <f t="shared" si="23"/>
        <v>0.22166666666666668</v>
      </c>
      <c r="E138" s="10">
        <f t="shared" si="24"/>
        <v>4.7395833333333331E-2</v>
      </c>
      <c r="F138" s="11">
        <f t="shared" si="25"/>
        <v>95</v>
      </c>
      <c r="G138" s="12">
        <f t="shared" si="26"/>
        <v>0.58886040078267299</v>
      </c>
    </row>
    <row r="139" spans="1:7" x14ac:dyDescent="0.3">
      <c r="A139" t="str">
        <f>Break!A139</f>
        <v>Del_Surendra Kumar (1008649)</v>
      </c>
      <c r="B139" s="9" t="str">
        <f t="shared" si="27"/>
        <v>Surendra Kumar</v>
      </c>
      <c r="C139" s="10">
        <f t="shared" si="22"/>
        <v>0.31192129629629628</v>
      </c>
      <c r="D139" s="10">
        <f t="shared" si="23"/>
        <v>0.12112268518518518</v>
      </c>
      <c r="E139" s="10">
        <f t="shared" si="24"/>
        <v>0.1575462962962963</v>
      </c>
      <c r="F139" s="11">
        <f t="shared" si="25"/>
        <v>96</v>
      </c>
      <c r="G139" s="12">
        <f t="shared" si="26"/>
        <v>0.34289424860853401</v>
      </c>
    </row>
    <row r="140" spans="1:7" x14ac:dyDescent="0.3">
      <c r="A140" t="str">
        <f>Break!A140</f>
        <v>Del_Surendranath Thakur (1008650)</v>
      </c>
      <c r="B140" s="9" t="str">
        <f t="shared" si="27"/>
        <v>Surendranath Thakur</v>
      </c>
      <c r="C140" s="10">
        <f t="shared" si="22"/>
        <v>0.3568634259259259</v>
      </c>
      <c r="D140" s="10">
        <f t="shared" si="23"/>
        <v>0.19224537037037037</v>
      </c>
      <c r="E140" s="10">
        <f t="shared" si="24"/>
        <v>9.5196759259259259E-2</v>
      </c>
      <c r="F140" s="11">
        <f t="shared" si="25"/>
        <v>97</v>
      </c>
      <c r="G140" s="12">
        <f t="shared" si="26"/>
        <v>0.497486459313074</v>
      </c>
    </row>
    <row r="141" spans="1:7" x14ac:dyDescent="0.3">
      <c r="A141" t="str">
        <f>Break!A141</f>
        <v>Del_Sushma Khandelwal (1008651)</v>
      </c>
      <c r="B141" s="9" t="str">
        <f t="shared" si="27"/>
        <v>Sushma Khandelwal</v>
      </c>
      <c r="C141" s="10">
        <f t="shared" si="22"/>
        <v>0.34392361111111114</v>
      </c>
      <c r="D141" s="10">
        <f t="shared" si="23"/>
        <v>0.20146990740740742</v>
      </c>
      <c r="E141" s="10">
        <f t="shared" si="24"/>
        <v>4.8854166666666664E-2</v>
      </c>
      <c r="F141" s="11">
        <f t="shared" si="25"/>
        <v>98</v>
      </c>
      <c r="G141" s="12">
        <f t="shared" si="26"/>
        <v>0.52431431936732298</v>
      </c>
    </row>
    <row r="142" spans="1:7" x14ac:dyDescent="0.3">
      <c r="A142" t="str">
        <f>Break!A142</f>
        <v>Del_Swarnlata Borse (1008652)</v>
      </c>
      <c r="B142" s="9" t="str">
        <f t="shared" si="27"/>
        <v>Swarnlata Borse</v>
      </c>
      <c r="C142" s="10">
        <f t="shared" si="22"/>
        <v>0.34658564814814813</v>
      </c>
      <c r="D142" s="10">
        <f t="shared" si="23"/>
        <v>0.12475694444444445</v>
      </c>
      <c r="E142" s="10">
        <f t="shared" si="24"/>
        <v>0.18931712962962963</v>
      </c>
      <c r="F142" s="11">
        <f t="shared" si="25"/>
        <v>99</v>
      </c>
      <c r="G142" s="12">
        <f t="shared" si="26"/>
        <v>0.31066956086157999</v>
      </c>
    </row>
    <row r="143" spans="1:7" x14ac:dyDescent="0.3">
      <c r="A143" t="str">
        <f>Break!A143</f>
        <v>Del_Syed Naved (1008653)</v>
      </c>
      <c r="B143" s="9" t="str">
        <f t="shared" si="27"/>
        <v>Syed Naved</v>
      </c>
      <c r="C143" s="10">
        <f t="shared" si="22"/>
        <v>0.34281250000000002</v>
      </c>
      <c r="D143" s="10">
        <f t="shared" si="23"/>
        <v>0.22505787037037037</v>
      </c>
      <c r="E143" s="10">
        <f t="shared" si="24"/>
        <v>5.1898148148148152E-2</v>
      </c>
      <c r="F143" s="11">
        <f t="shared" si="25"/>
        <v>100</v>
      </c>
      <c r="G143" s="12">
        <f t="shared" si="26"/>
        <v>0.58462473412336702</v>
      </c>
    </row>
    <row r="144" spans="1:7" x14ac:dyDescent="0.3">
      <c r="A144" t="str">
        <f>Break!A144</f>
        <v>Del_Syed Saqib (1008654)</v>
      </c>
      <c r="B144" s="9" t="str">
        <f t="shared" si="27"/>
        <v>Syed Saqib</v>
      </c>
      <c r="C144" s="10">
        <f t="shared" si="22"/>
        <v>0.35055555555555556</v>
      </c>
      <c r="D144" s="10">
        <f t="shared" si="23"/>
        <v>0.11953703703703704</v>
      </c>
      <c r="E144" s="10">
        <f t="shared" si="24"/>
        <v>0.21081018518518518</v>
      </c>
      <c r="F144" s="11">
        <f t="shared" si="25"/>
        <v>101</v>
      </c>
      <c r="G144" s="12">
        <f t="shared" si="26"/>
        <v>0.31685816164817698</v>
      </c>
    </row>
    <row r="145" spans="1:7" x14ac:dyDescent="0.3">
      <c r="A145" t="str">
        <f>Break!A145</f>
        <v>Del_Syed Sohail (1008655)</v>
      </c>
      <c r="B145" s="9" t="str">
        <f t="shared" si="27"/>
        <v>Syed Sohail</v>
      </c>
      <c r="C145" s="10">
        <f t="shared" si="22"/>
        <v>0.34575231481481483</v>
      </c>
      <c r="D145" s="10">
        <f t="shared" si="23"/>
        <v>0.20268518518518519</v>
      </c>
      <c r="E145" s="10">
        <f t="shared" si="24"/>
        <v>5.0046296296296297E-2</v>
      </c>
      <c r="F145" s="11">
        <f t="shared" si="25"/>
        <v>102</v>
      </c>
      <c r="G145" s="12">
        <f t="shared" si="26"/>
        <v>0.56375322197301903</v>
      </c>
    </row>
    <row r="146" spans="1:7" x14ac:dyDescent="0.3">
      <c r="A146" t="str">
        <f>Break!A146</f>
        <v>Del_System Operator (1008656)</v>
      </c>
      <c r="B146" s="9" t="str">
        <f t="shared" si="27"/>
        <v>System Operator</v>
      </c>
      <c r="C146" s="10">
        <f t="shared" si="22"/>
        <v>0.35479166666666667</v>
      </c>
      <c r="D146" s="10">
        <f t="shared" si="23"/>
        <v>0.21916666666666668</v>
      </c>
      <c r="E146" s="10">
        <f t="shared" si="24"/>
        <v>3.8946759259259257E-2</v>
      </c>
      <c r="F146" s="11">
        <f t="shared" si="25"/>
        <v>103</v>
      </c>
      <c r="G146" s="12">
        <f t="shared" si="26"/>
        <v>0.54779147908918902</v>
      </c>
    </row>
    <row r="147" spans="1:7" x14ac:dyDescent="0.3">
      <c r="A147" t="str">
        <f>Break!A147</f>
        <v>Del_Tahira Qureshi (1008657)</v>
      </c>
      <c r="B147" s="9" t="str">
        <f t="shared" si="27"/>
        <v>Tahira Qureshi</v>
      </c>
      <c r="C147" s="10">
        <f t="shared" si="22"/>
        <v>0.36542824074074076</v>
      </c>
      <c r="D147" s="10">
        <f t="shared" si="23"/>
        <v>0.15059027777777778</v>
      </c>
      <c r="E147" s="10">
        <f t="shared" si="24"/>
        <v>0.16840277777777779</v>
      </c>
      <c r="F147" s="11">
        <f t="shared" si="25"/>
        <v>104</v>
      </c>
      <c r="G147" s="12">
        <f t="shared" si="26"/>
        <v>0.37965983593576802</v>
      </c>
    </row>
    <row r="148" spans="1:7" x14ac:dyDescent="0.3">
      <c r="A148" t="str">
        <f>Break!A148</f>
        <v>Del_Tapas Chakraborty (1008658)</v>
      </c>
      <c r="B148" s="9" t="str">
        <f t="shared" si="27"/>
        <v>Tapas Chakraborty</v>
      </c>
      <c r="C148" s="10">
        <f t="shared" si="22"/>
        <v>0.34370370370370368</v>
      </c>
      <c r="D148" s="10">
        <f t="shared" si="23"/>
        <v>0.21891203703703704</v>
      </c>
      <c r="E148" s="10">
        <f t="shared" si="24"/>
        <v>5.0127314814814812E-2</v>
      </c>
      <c r="F148" s="11">
        <f t="shared" si="25"/>
        <v>105</v>
      </c>
      <c r="G148" s="12">
        <f t="shared" si="26"/>
        <v>0.56529498922413801</v>
      </c>
    </row>
    <row r="149" spans="1:7" x14ac:dyDescent="0.3">
      <c r="A149" t="str">
        <f>Break!A149</f>
        <v>Del_Tariq Akhlaq (1008659)</v>
      </c>
      <c r="B149" s="9" t="str">
        <f t="shared" si="27"/>
        <v>Tariq Akhlaq</v>
      </c>
      <c r="C149" s="10">
        <f t="shared" si="22"/>
        <v>0.20827546296296295</v>
      </c>
      <c r="D149" s="10">
        <f t="shared" si="23"/>
        <v>0.1310300925925926</v>
      </c>
      <c r="E149" s="10">
        <f t="shared" si="24"/>
        <v>1.0451388888888889E-2</v>
      </c>
      <c r="F149" s="11">
        <f t="shared" si="25"/>
        <v>106</v>
      </c>
      <c r="G149" s="12">
        <f t="shared" si="26"/>
        <v>0.60261183662128404</v>
      </c>
    </row>
    <row r="150" spans="1:7" x14ac:dyDescent="0.3">
      <c r="A150" t="str">
        <f>Break!A150</f>
        <v>Del_Tasneem Khan (1008660)</v>
      </c>
      <c r="B150" s="9" t="str">
        <f t="shared" si="27"/>
        <v>Tasneem Khan</v>
      </c>
      <c r="C150" s="10">
        <f t="shared" si="22"/>
        <v>0.35688657407407409</v>
      </c>
      <c r="D150" s="10">
        <f t="shared" si="23"/>
        <v>0.19362268518518519</v>
      </c>
      <c r="E150" s="10">
        <f t="shared" si="24"/>
        <v>9.5034722222222229E-2</v>
      </c>
      <c r="F150" s="11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6E28C-7E69-4292-83FE-38E0B7B2E378}">
  <sheetPr codeName="Sheet5"/>
  <dimension ref="A1:E9"/>
  <sheetViews>
    <sheetView tabSelected="1" workbookViewId="0">
      <selection activeCell="M19" sqref="M17:W19"/>
    </sheetView>
  </sheetViews>
  <sheetFormatPr defaultRowHeight="14.4" x14ac:dyDescent="0.3"/>
  <cols>
    <col min="1" max="1" width="17.109375" customWidth="1"/>
    <col min="2" max="2" width="47.44140625" customWidth="1"/>
    <col min="4" max="4" width="13.88671875" bestFit="1" customWidth="1"/>
    <col min="5" max="5" width="47.109375" customWidth="1"/>
  </cols>
  <sheetData>
    <row r="1" spans="1:5" x14ac:dyDescent="0.3">
      <c r="A1" s="15"/>
      <c r="B1" s="15"/>
      <c r="C1" s="16">
        <v>5</v>
      </c>
      <c r="D1" s="15"/>
      <c r="E1" s="15"/>
    </row>
    <row r="2" spans="1:5" x14ac:dyDescent="0.3">
      <c r="A2" s="15"/>
      <c r="B2" s="15"/>
      <c r="C2">
        <v>5</v>
      </c>
      <c r="D2" s="15"/>
      <c r="E2" s="15"/>
    </row>
    <row r="3" spans="1:5" ht="16.2" customHeight="1" x14ac:dyDescent="0.3">
      <c r="A3" s="17" t="s">
        <v>1008</v>
      </c>
      <c r="B3" s="18"/>
      <c r="D3" s="17" t="s">
        <v>1014</v>
      </c>
      <c r="E3" s="18"/>
    </row>
    <row r="4" spans="1:5" ht="16.8" customHeight="1" x14ac:dyDescent="0.3">
      <c r="A4" s="13" t="s">
        <v>1005</v>
      </c>
      <c r="B4" t="s">
        <v>1007</v>
      </c>
      <c r="D4" s="13" t="s">
        <v>1005</v>
      </c>
      <c r="E4" t="s">
        <v>1013</v>
      </c>
    </row>
    <row r="5" spans="1:5" x14ac:dyDescent="0.3">
      <c r="A5" s="14" t="s">
        <v>1006</v>
      </c>
      <c r="B5" s="10">
        <v>1.3668402777777779</v>
      </c>
      <c r="D5" s="14" t="s">
        <v>1006</v>
      </c>
      <c r="E5" s="12">
        <v>2.0905948641136138</v>
      </c>
    </row>
    <row r="6" spans="1:5" x14ac:dyDescent="0.3">
      <c r="A6" s="14" t="s">
        <v>1009</v>
      </c>
      <c r="B6" s="10">
        <v>0.66396990740740747</v>
      </c>
      <c r="D6" s="14" t="s">
        <v>1009</v>
      </c>
      <c r="E6" s="12">
        <v>1.064298009533315</v>
      </c>
    </row>
    <row r="7" spans="1:5" x14ac:dyDescent="0.3">
      <c r="A7" s="14" t="s">
        <v>1010</v>
      </c>
      <c r="B7" s="10">
        <v>0.67937500000000006</v>
      </c>
      <c r="D7" s="14" t="s">
        <v>1010</v>
      </c>
      <c r="E7" s="12">
        <v>1.122824596941316</v>
      </c>
    </row>
    <row r="8" spans="1:5" x14ac:dyDescent="0.3">
      <c r="A8" s="14" t="s">
        <v>1011</v>
      </c>
      <c r="B8" s="10">
        <v>1.0142939814814815</v>
      </c>
      <c r="D8" s="14" t="s">
        <v>1011</v>
      </c>
      <c r="E8" s="12">
        <v>1.7236731368386569</v>
      </c>
    </row>
    <row r="9" spans="1:5" x14ac:dyDescent="0.3">
      <c r="A9" s="14" t="s">
        <v>1012</v>
      </c>
      <c r="B9" s="10">
        <v>0.67259259259259263</v>
      </c>
      <c r="D9" s="14" t="s">
        <v>1012</v>
      </c>
      <c r="E9" s="12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5" name="Spinner 5">
              <controlPr defaultSize="0" autoPict="0" macro="[0]!Spinner5_Code">
                <anchor moveWithCells="1" sizeWithCells="1">
                  <from>
                    <xdr:col>1</xdr:col>
                    <xdr:colOff>960120</xdr:colOff>
                    <xdr:row>0</xdr:row>
                    <xdr:rowOff>45720</xdr:rowOff>
                  </from>
                  <to>
                    <xdr:col>1</xdr:col>
                    <xdr:colOff>1181100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Spinner 9">
              <controlPr defaultSize="0" autoPict="0" macro="[0]!Spinner9_code">
                <anchor moveWithCells="1" sizeWithCells="1">
                  <from>
                    <xdr:col>4</xdr:col>
                    <xdr:colOff>960120</xdr:colOff>
                    <xdr:row>0</xdr:row>
                    <xdr:rowOff>45720</xdr:rowOff>
                  </from>
                  <to>
                    <xdr:col>4</xdr:col>
                    <xdr:colOff>1181100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 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Rai</dc:creator>
  <cp:lastModifiedBy>Shreya Rai</cp:lastModifiedBy>
  <dcterms:created xsi:type="dcterms:W3CDTF">2015-06-05T18:17:20Z</dcterms:created>
  <dcterms:modified xsi:type="dcterms:W3CDTF">2026-07-01T06:21:59Z</dcterms:modified>
</cp:coreProperties>
</file>